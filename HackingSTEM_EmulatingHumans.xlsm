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0" codeName="{00000000-0000-0000-0000-000000000000}"/>
  <workbookPr filterPrivacy="1" codeName="ThisWorkbook"/>
  <xr:revisionPtr revIDLastSave="1" documentId="13_ncr:1_{72DF3BE4-84B0-4A3E-A738-15F23A289403}" xr6:coauthVersionLast="47" xr6:coauthVersionMax="47" xr10:uidLastSave="{48765A58-25E0-46BA-BB8B-A2D7F1BC22B6}"/>
  <bookViews>
    <workbookView xWindow="-120" yWindow="-120" windowWidth="29040" windowHeight="15840" xr2:uid="{DE8593FD-AC68-4490-8435-68A89442BF87}"/>
  </bookViews>
  <sheets>
    <sheet name="Instructions" sheetId="12" r:id="rId1"/>
    <sheet name="TT" sheetId="13" state="hidden" r:id="rId2"/>
    <sheet name="Finger" sheetId="15" r:id="rId3"/>
    <sheet name="Hand" sheetId="1" r:id="rId4"/>
    <sheet name="RPS" sheetId="9" r:id="rId5"/>
    <sheet name="RPS History" sheetId="14" r:id="rId6"/>
    <sheet name="Backend" sheetId="5" state="hidden" r:id="rId7"/>
    <sheet name="Backend_RPS" sheetId="10" state="hidden" r:id="rId8"/>
    <sheet name="Data In" sheetId="3" r:id="rId9"/>
    <sheet name="Data Out" sheetId="4" r:id="rId10"/>
    <sheet name="Settings" sheetId="2" r:id="rId11"/>
  </sheets>
  <definedNames>
    <definedName name="Countdown_Timer">'Data In'!$E$5</definedName>
    <definedName name="DataChannelCountDefault">Settings!$B$8</definedName>
    <definedName name="DataChannelCountSetting">Settings!$C$8</definedName>
    <definedName name="DataDelayDefault">Settings!$B$4</definedName>
    <definedName name="DataDelaySetting">Settings!$C$4</definedName>
    <definedName name="DataOrientationDefault">Settings!$B$10</definedName>
    <definedName name="DataOrientationSetting">Settings!$C$10</definedName>
    <definedName name="DataRowCountDefault">Settings!$B$6</definedName>
    <definedName name="DataRowCountSetting">Settings!$C$6</definedName>
    <definedName name="EXL_RPS">'Data Out'!$I$5</definedName>
    <definedName name="FingerFlex_Index">Backend_RPS!$C$2</definedName>
    <definedName name="FingerFlex_Middle">Backend_RPS!$C$3</definedName>
    <definedName name="FingerFlex_Ring">Backend_RPS!$C$4</definedName>
    <definedName name="GameInProgress">Backend_RPS!$C$8</definedName>
    <definedName name="Gesture_concat">Backend_RPS!$C$5</definedName>
    <definedName name="Gesture_P1">Backend_RPS!$C$6</definedName>
    <definedName name="Gesture_P2">Backend_RPS!$C$7</definedName>
    <definedName name="HandSel">Backend!$K$9</definedName>
    <definedName name="HandSelVal">Backend!$K$10</definedName>
    <definedName name="LanguageSelect">TT!$T$3</definedName>
    <definedName name="Match_Complete">Backend_RPS!$C$17</definedName>
    <definedName name="Match_Trigger">'Data Out'!$F$5</definedName>
    <definedName name="MatchResults">'Data In'!$N$5:$W$5</definedName>
    <definedName name="MatchSaveState">Backend_RPS!$C$22</definedName>
    <definedName name="MatchText">Backend_RPS!$C$18</definedName>
    <definedName name="MatchText2">Backend_RPS!$C$19</definedName>
    <definedName name="Perc_P1_1">Backend_RPS!$C$11</definedName>
    <definedName name="Perc_P1_2">Backend_RPS!$C$12</definedName>
    <definedName name="Perc_P1_3">Backend_RPS!$C$13</definedName>
    <definedName name="Perc_P2_1">Backend_RPS!$C$14</definedName>
    <definedName name="Perc_P2_2">Backend_RPS!$C$15</definedName>
    <definedName name="Perc_P2_3">Backend_RPS!$C$16</definedName>
    <definedName name="WinnerText">Backend_RPS!$C$10</definedName>
    <definedName name="WinnerVal">Backend_RPS!$C$9</definedName>
    <definedName name="WkBk_Mode">'Data Out'!$C$5</definedName>
    <definedName name="ZoomRange_1">Instructions!$A$1:$L$6</definedName>
    <definedName name="ZoomRange_2">Hand!$A$1:$AG$21</definedName>
    <definedName name="ZoomRange_3">RPS!$A$1:$AO$22</definedName>
    <definedName name="ZoomRange_4">Finger!$A$1:$AG$21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5" l="1"/>
  <c r="L4" i="5"/>
  <c r="L5" i="5"/>
  <c r="L6" i="5"/>
  <c r="L7" i="5"/>
  <c r="AI3" i="15"/>
  <c r="AI2" i="15"/>
  <c r="F2" i="15"/>
  <c r="C2" i="15"/>
  <c r="B117" i="13" l="1" a="1"/>
  <c r="B117" i="13" s="1"/>
  <c r="C8" i="10" l="1"/>
  <c r="C23" i="10"/>
  <c r="B116" i="13" a="1"/>
  <c r="B116" i="13" s="1"/>
  <c r="B113" i="13" a="1"/>
  <c r="B113" i="13" s="1"/>
  <c r="B114" i="13" a="1"/>
  <c r="B114" i="13" s="1"/>
  <c r="B115" i="13" a="1"/>
  <c r="B115" i="13" s="1"/>
  <c r="B110" i="13" a="1"/>
  <c r="B110" i="13" s="1"/>
  <c r="B111" i="13" a="1"/>
  <c r="B111" i="13" s="1"/>
  <c r="B112" i="13" a="1"/>
  <c r="B112" i="13" s="1"/>
  <c r="B109" i="13" a="1"/>
  <c r="B109" i="13" s="1"/>
  <c r="B108" i="13" a="1"/>
  <c r="B108" i="13" s="1"/>
  <c r="B107" i="13" a="1"/>
  <c r="B107" i="13" s="1"/>
  <c r="B106" i="13" l="1" a="1"/>
  <c r="B106" i="13" s="1"/>
  <c r="B101" i="13" l="1" a="1"/>
  <c r="B101" i="13" s="1"/>
  <c r="B102" i="13" a="1"/>
  <c r="B102" i="13" s="1"/>
  <c r="B103" i="13" a="1"/>
  <c r="B103" i="13" s="1"/>
  <c r="B104" i="13" a="1"/>
  <c r="B104" i="13" s="1"/>
  <c r="B105" i="13" a="1"/>
  <c r="B105" i="13" s="1"/>
  <c r="B91" i="13" a="1"/>
  <c r="B91" i="13" s="1"/>
  <c r="B92" i="13" a="1"/>
  <c r="B92" i="13" s="1"/>
  <c r="B93" i="13" a="1"/>
  <c r="B93" i="13" s="1"/>
  <c r="B94" i="13" a="1"/>
  <c r="B94" i="13" s="1"/>
  <c r="B95" i="13" a="1"/>
  <c r="B95" i="13" s="1"/>
  <c r="B96" i="13" a="1"/>
  <c r="B96" i="13" s="1"/>
  <c r="B97" i="13" a="1"/>
  <c r="B97" i="13" s="1"/>
  <c r="B98" i="13" a="1"/>
  <c r="B98" i="13" s="1"/>
  <c r="B99" i="13" a="1"/>
  <c r="B99" i="13" s="1"/>
  <c r="B100" i="13" a="1"/>
  <c r="B100" i="13" s="1"/>
  <c r="B88" i="13" a="1"/>
  <c r="B88" i="13" s="1"/>
  <c r="B89" i="13" a="1"/>
  <c r="B89" i="13" s="1"/>
  <c r="B90" i="13" a="1"/>
  <c r="B90" i="13" s="1"/>
  <c r="B87" i="13" a="1"/>
  <c r="B87" i="13" s="1"/>
  <c r="B86" i="13" a="1"/>
  <c r="B86" i="13" s="1"/>
  <c r="B85" i="13" a="1"/>
  <c r="B85" i="13" s="1"/>
  <c r="B84" i="13" a="1"/>
  <c r="B84" i="13" s="1"/>
  <c r="B83" i="13" a="1"/>
  <c r="B83" i="13" s="1"/>
  <c r="B82" i="13" a="1"/>
  <c r="B82" i="13" s="1"/>
  <c r="B62" i="13" a="1"/>
  <c r="B62" i="13" s="1"/>
  <c r="B63" i="13" a="1"/>
  <c r="B63" i="13" s="1"/>
  <c r="B64" i="13" a="1"/>
  <c r="B64" i="13" s="1"/>
  <c r="B65" i="13" a="1"/>
  <c r="B65" i="13" s="1"/>
  <c r="B66" i="13" a="1"/>
  <c r="B66" i="13" s="1"/>
  <c r="B67" i="13" a="1"/>
  <c r="B67" i="13" s="1"/>
  <c r="B68" i="13" a="1"/>
  <c r="B68" i="13" s="1"/>
  <c r="B69" i="13" a="1"/>
  <c r="B69" i="13" s="1"/>
  <c r="B70" i="13" a="1"/>
  <c r="B70" i="13" s="1"/>
  <c r="B71" i="13" a="1"/>
  <c r="B71" i="13" s="1"/>
  <c r="B72" i="13" a="1"/>
  <c r="B72" i="13" s="1"/>
  <c r="B73" i="13" a="1"/>
  <c r="B73" i="13" s="1"/>
  <c r="B74" i="13" a="1"/>
  <c r="B74" i="13" s="1"/>
  <c r="B75" i="13" a="1"/>
  <c r="B75" i="13" s="1"/>
  <c r="B76" i="13" a="1"/>
  <c r="B76" i="13" s="1"/>
  <c r="B77" i="13" a="1"/>
  <c r="B77" i="13" s="1"/>
  <c r="B78" i="13" a="1"/>
  <c r="B78" i="13" s="1"/>
  <c r="B79" i="13" a="1"/>
  <c r="B79" i="13" s="1"/>
  <c r="B80" i="13" a="1"/>
  <c r="B80" i="13" s="1"/>
  <c r="B81" i="13" a="1"/>
  <c r="B81" i="13" s="1"/>
  <c r="B55" i="13" a="1"/>
  <c r="B55" i="13" s="1"/>
  <c r="B56" i="13" a="1"/>
  <c r="B56" i="13" s="1"/>
  <c r="B57" i="13" a="1"/>
  <c r="B57" i="13" s="1"/>
  <c r="B58" i="13" a="1"/>
  <c r="B58" i="13" s="1"/>
  <c r="B59" i="13" a="1"/>
  <c r="B59" i="13" s="1"/>
  <c r="B60" i="13" a="1"/>
  <c r="B60" i="13" s="1"/>
  <c r="B61" i="13" a="1"/>
  <c r="B61" i="13" s="1"/>
  <c r="B52" i="13" a="1"/>
  <c r="B52" i="13" s="1"/>
  <c r="B53" i="13" a="1"/>
  <c r="B53" i="13" s="1"/>
  <c r="B54" i="13" a="1"/>
  <c r="B54" i="13" s="1"/>
  <c r="C19" i="10"/>
  <c r="B49" i="13" a="1"/>
  <c r="B49" i="13" s="1"/>
  <c r="B50" i="13" a="1"/>
  <c r="B50" i="13" s="1"/>
  <c r="B51" i="13" a="1"/>
  <c r="B51" i="13" s="1"/>
  <c r="B48" i="13" a="1"/>
  <c r="B48" i="13" s="1"/>
  <c r="B47" i="13" a="1"/>
  <c r="B47" i="13" s="1"/>
  <c r="B24" i="13" a="1"/>
  <c r="B24" i="13" s="1"/>
  <c r="B29" i="13" a="1"/>
  <c r="B29" i="13" s="1"/>
  <c r="B30" i="13" a="1"/>
  <c r="B30" i="13" s="1"/>
  <c r="B31" i="13" a="1"/>
  <c r="B31" i="13" s="1"/>
  <c r="B32" i="13" a="1"/>
  <c r="B32" i="13" s="1"/>
  <c r="B33" i="13" a="1"/>
  <c r="B33" i="13" s="1"/>
  <c r="B34" i="13" a="1"/>
  <c r="B34" i="13" s="1"/>
  <c r="B35" i="13" a="1"/>
  <c r="B35" i="13" s="1"/>
  <c r="B36" i="13" a="1"/>
  <c r="B36" i="13" s="1"/>
  <c r="B37" i="13" a="1"/>
  <c r="B37" i="13" s="1"/>
  <c r="B22" i="13" a="1"/>
  <c r="B22" i="13" s="1"/>
  <c r="B23" i="13" a="1"/>
  <c r="B23" i="13" s="1"/>
  <c r="B43" i="13" a="1"/>
  <c r="B43" i="13" s="1"/>
  <c r="B44" i="13" a="1"/>
  <c r="B44" i="13" s="1"/>
  <c r="B45" i="13" a="1"/>
  <c r="B45" i="13" s="1"/>
  <c r="B46" i="13" a="1"/>
  <c r="B46" i="13" s="1"/>
  <c r="B39" i="13" a="1"/>
  <c r="B39" i="13" s="1"/>
  <c r="B38" i="13" a="1"/>
  <c r="B38" i="13" s="1"/>
  <c r="B40" i="13" a="1"/>
  <c r="B40" i="13" s="1"/>
  <c r="B41" i="13" a="1"/>
  <c r="B41" i="13" s="1"/>
  <c r="B42" i="13" a="1"/>
  <c r="B42" i="13" s="1"/>
  <c r="S3" i="13"/>
  <c r="T3" i="13" s="1"/>
  <c r="B4" i="13" a="1"/>
  <c r="B4"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5" i="13" a="1"/>
  <c r="B15" i="13" s="1"/>
  <c r="B16" i="13" a="1"/>
  <c r="B16" i="13" s="1"/>
  <c r="B17" i="13" a="1"/>
  <c r="B17" i="13" s="1"/>
  <c r="B18" i="13" a="1"/>
  <c r="B18" i="13" s="1"/>
  <c r="B19" i="13" a="1"/>
  <c r="B19" i="13" s="1"/>
  <c r="B20" i="13" a="1"/>
  <c r="B20" i="13" s="1"/>
  <c r="B21" i="13" a="1"/>
  <c r="B21" i="13" s="1"/>
  <c r="B25" i="13" a="1"/>
  <c r="B25" i="13" s="1"/>
  <c r="B26" i="13" a="1"/>
  <c r="B26" i="13" s="1"/>
  <c r="B27" i="13" a="1"/>
  <c r="B27" i="13" s="1"/>
  <c r="B28" i="13" a="1"/>
  <c r="B28" i="13" s="1"/>
  <c r="B3" i="13" a="1"/>
  <c r="B3" i="13" s="1"/>
  <c r="O3" i="13" l="1"/>
  <c r="O31" i="13"/>
  <c r="O43" i="13"/>
  <c r="O51" i="13"/>
  <c r="O63" i="13"/>
  <c r="O71" i="13"/>
  <c r="O83" i="13"/>
  <c r="O95" i="13"/>
  <c r="O103" i="13"/>
  <c r="O115" i="13"/>
  <c r="O105" i="13"/>
  <c r="I4" i="4" s="1"/>
  <c r="O4" i="13"/>
  <c r="A2" i="3" s="1"/>
  <c r="O8" i="13"/>
  <c r="O12" i="13"/>
  <c r="O16" i="13"/>
  <c r="A12" i="2" s="1"/>
  <c r="O20" i="13"/>
  <c r="O24" i="13"/>
  <c r="O28" i="13"/>
  <c r="O32" i="13"/>
  <c r="O36" i="13"/>
  <c r="O40" i="13"/>
  <c r="O44" i="13"/>
  <c r="O48" i="13"/>
  <c r="O52" i="13"/>
  <c r="O56" i="13"/>
  <c r="O60" i="13"/>
  <c r="O64" i="13"/>
  <c r="J12" i="10" s="1"/>
  <c r="O68" i="13"/>
  <c r="J16" i="10" s="1"/>
  <c r="O72" i="13"/>
  <c r="O76" i="13"/>
  <c r="J24" i="10" s="1"/>
  <c r="O80" i="13"/>
  <c r="J28" i="10" s="1"/>
  <c r="O84" i="13"/>
  <c r="O88" i="13"/>
  <c r="O92" i="13"/>
  <c r="O96" i="13"/>
  <c r="O100" i="13"/>
  <c r="O104" i="13"/>
  <c r="O108" i="13"/>
  <c r="O112" i="13"/>
  <c r="T2" i="14" s="1"/>
  <c r="O116" i="13"/>
  <c r="B4" i="14" s="1"/>
  <c r="O9" i="13"/>
  <c r="O13" i="13"/>
  <c r="O17" i="13"/>
  <c r="C4" i="12" s="1"/>
  <c r="O21" i="13"/>
  <c r="O25" i="13"/>
  <c r="O29" i="13"/>
  <c r="O33" i="13"/>
  <c r="O37" i="13"/>
  <c r="O41" i="13"/>
  <c r="O45" i="13"/>
  <c r="O49" i="13"/>
  <c r="O57" i="13"/>
  <c r="D5" i="5" s="1"/>
  <c r="O65" i="13"/>
  <c r="O69" i="13"/>
  <c r="D17" i="5" s="1"/>
  <c r="O77" i="13"/>
  <c r="D25" i="5" s="1"/>
  <c r="O89" i="13"/>
  <c r="L4" i="3" s="1"/>
  <c r="L7" i="3" s="1"/>
  <c r="O97" i="13"/>
  <c r="O113" i="13"/>
  <c r="O5" i="13"/>
  <c r="A3" i="3" s="1"/>
  <c r="O53" i="13"/>
  <c r="O61" i="13"/>
  <c r="O73" i="13"/>
  <c r="O81" i="13"/>
  <c r="D29" i="5" s="1"/>
  <c r="O93" i="13"/>
  <c r="O109" i="13"/>
  <c r="O6" i="13"/>
  <c r="O10" i="13"/>
  <c r="A1" i="2" s="1"/>
  <c r="O14" i="13"/>
  <c r="A8" i="2" s="1"/>
  <c r="O18" i="13"/>
  <c r="O22" i="13"/>
  <c r="O26" i="13"/>
  <c r="O30" i="13"/>
  <c r="O34" i="13"/>
  <c r="O38" i="13"/>
  <c r="O42" i="13"/>
  <c r="BD4" i="10" s="1"/>
  <c r="O46" i="13"/>
  <c r="O50" i="13"/>
  <c r="O54" i="13"/>
  <c r="O58" i="13"/>
  <c r="O62" i="13"/>
  <c r="D10" i="5" s="1"/>
  <c r="O66" i="13"/>
  <c r="O70" i="13"/>
  <c r="O74" i="13"/>
  <c r="D22" i="5" s="1"/>
  <c r="O78" i="13"/>
  <c r="D26" i="5" s="1"/>
  <c r="O82" i="13"/>
  <c r="O86" i="13"/>
  <c r="O90" i="13"/>
  <c r="M4" i="3" s="1"/>
  <c r="M7" i="3" s="1"/>
  <c r="O94" i="13"/>
  <c r="O98" i="13"/>
  <c r="O102" i="13"/>
  <c r="E4" i="4" s="1"/>
  <c r="O106" i="13"/>
  <c r="O110" i="13"/>
  <c r="R2" i="14" s="1"/>
  <c r="O114" i="13"/>
  <c r="V2" i="14" s="1"/>
  <c r="O7" i="13"/>
  <c r="O11" i="13"/>
  <c r="A2" i="2" s="1"/>
  <c r="O15" i="13"/>
  <c r="A10" i="2" s="1"/>
  <c r="O19" i="13"/>
  <c r="O23" i="13"/>
  <c r="O27" i="13"/>
  <c r="G4" i="3" s="1"/>
  <c r="O35" i="13"/>
  <c r="O39" i="13"/>
  <c r="O47" i="13"/>
  <c r="O55" i="13"/>
  <c r="D3" i="5" s="1"/>
  <c r="O59" i="13"/>
  <c r="D7" i="5" s="1"/>
  <c r="O67" i="13"/>
  <c r="O75" i="13"/>
  <c r="D23" i="5" s="1"/>
  <c r="O79" i="13"/>
  <c r="D27" i="5" s="1"/>
  <c r="O87" i="13"/>
  <c r="E4" i="3" s="1"/>
  <c r="O91" i="13"/>
  <c r="O99" i="13"/>
  <c r="O107" i="13"/>
  <c r="E2" i="14" s="1"/>
  <c r="O111" i="13"/>
  <c r="S2" i="14" s="1"/>
  <c r="O85" i="13"/>
  <c r="O101" i="13"/>
  <c r="O117" i="13"/>
  <c r="B2" i="12" s="1"/>
  <c r="U2" i="14"/>
  <c r="F2" i="14"/>
  <c r="W2" i="14"/>
  <c r="Q2" i="14"/>
  <c r="G4" i="4"/>
  <c r="F4" i="4"/>
  <c r="D4" i="3"/>
  <c r="K4" i="3"/>
  <c r="D6" i="5"/>
  <c r="J20" i="10"/>
  <c r="AA20" i="9"/>
  <c r="D9" i="5"/>
  <c r="D19" i="5"/>
  <c r="D15" i="5"/>
  <c r="D11" i="5"/>
  <c r="C20" i="9"/>
  <c r="D21" i="5"/>
  <c r="D13" i="5"/>
  <c r="J8" i="10"/>
  <c r="J4" i="10"/>
  <c r="D18" i="5"/>
  <c r="D14" i="5"/>
  <c r="A4" i="3"/>
  <c r="A7" i="3" s="1"/>
  <c r="I4" i="3"/>
  <c r="BD5" i="10"/>
  <c r="A6" i="2"/>
  <c r="A1" i="4"/>
  <c r="A1" i="3"/>
  <c r="BD3" i="10"/>
  <c r="H4" i="3"/>
  <c r="A2" i="4"/>
  <c r="A4" i="2"/>
  <c r="A6" i="3"/>
  <c r="D16" i="5" l="1"/>
  <c r="E2" i="1"/>
  <c r="E2" i="15"/>
  <c r="L11" i="1"/>
  <c r="L11" i="15"/>
  <c r="L8" i="1"/>
  <c r="L8" i="15"/>
  <c r="J20" i="1"/>
  <c r="J20" i="15"/>
  <c r="L5" i="1"/>
  <c r="L5" i="15"/>
  <c r="D2" i="1"/>
  <c r="D2" i="15"/>
  <c r="Q2" i="1"/>
  <c r="Q2" i="15"/>
  <c r="J19" i="1"/>
  <c r="J19" i="15"/>
  <c r="C18" i="10"/>
  <c r="L14" i="1"/>
  <c r="L14" i="15"/>
  <c r="J2" i="1"/>
  <c r="J2" i="15"/>
  <c r="O4" i="3"/>
  <c r="O7" i="3" s="1"/>
  <c r="H2" i="14"/>
  <c r="S4" i="3"/>
  <c r="S7" i="3" s="1"/>
  <c r="L2" i="14"/>
  <c r="T4" i="3"/>
  <c r="T7" i="3" s="1"/>
  <c r="M2" i="14"/>
  <c r="N4" i="3"/>
  <c r="N7" i="3" s="1"/>
  <c r="G2" i="14"/>
  <c r="Q4" i="3"/>
  <c r="Q7" i="3" s="1"/>
  <c r="J2" i="14"/>
  <c r="R4" i="3"/>
  <c r="R7" i="3" s="1"/>
  <c r="K2" i="14"/>
  <c r="W4" i="3"/>
  <c r="W7" i="3" s="1"/>
  <c r="P2" i="14"/>
  <c r="V4" i="3"/>
  <c r="V7" i="3" s="1"/>
  <c r="O2" i="14"/>
  <c r="U4" i="3"/>
  <c r="U7" i="3" s="1"/>
  <c r="N2" i="14"/>
  <c r="P4" i="3"/>
  <c r="P7" i="3" s="1"/>
  <c r="I2" i="14"/>
  <c r="J7" i="10"/>
  <c r="J10" i="10"/>
  <c r="J9" i="10"/>
  <c r="D20" i="5"/>
  <c r="D4" i="4"/>
  <c r="C4" i="3"/>
  <c r="J29" i="10"/>
  <c r="K3" i="5"/>
  <c r="F4" i="3"/>
  <c r="K7" i="5"/>
  <c r="J4" i="3"/>
  <c r="J15" i="10"/>
  <c r="B4" i="3"/>
  <c r="C4" i="4"/>
  <c r="J5" i="10"/>
  <c r="J6" i="10"/>
  <c r="J22" i="10"/>
  <c r="J26" i="10"/>
  <c r="J19" i="10"/>
  <c r="J17" i="10"/>
  <c r="J11" i="10"/>
  <c r="D12" i="5"/>
  <c r="J3" i="10"/>
  <c r="K6" i="5"/>
  <c r="A4" i="10"/>
  <c r="K4" i="5"/>
  <c r="A2" i="10"/>
  <c r="J27" i="10"/>
  <c r="J18" i="10"/>
  <c r="D28" i="5"/>
  <c r="D8" i="5"/>
  <c r="K5" i="5"/>
  <c r="A3" i="10"/>
  <c r="J13" i="10"/>
  <c r="J23" i="10"/>
  <c r="D24" i="5"/>
  <c r="J14" i="10"/>
  <c r="J25" i="10"/>
  <c r="D4" i="5"/>
  <c r="J21" i="10"/>
  <c r="BC4" i="10"/>
  <c r="BB4" i="10"/>
  <c r="BC3" i="10"/>
  <c r="BB5" i="10"/>
  <c r="AB20" i="9"/>
  <c r="D20" i="9"/>
  <c r="J20" i="9"/>
  <c r="AH20" i="9"/>
  <c r="G20" i="9"/>
  <c r="AE20" i="9"/>
  <c r="C2" i="9"/>
  <c r="T15" i="9"/>
  <c r="AA2" i="9"/>
  <c r="V15" i="9"/>
  <c r="G18" i="5" l="1"/>
  <c r="G7" i="5"/>
  <c r="G19" i="5"/>
  <c r="G10" i="5"/>
  <c r="H18" i="5"/>
  <c r="H14" i="5"/>
  <c r="H7" i="5"/>
  <c r="H10" i="5"/>
  <c r="G5" i="5"/>
  <c r="G8" i="5"/>
  <c r="H8" i="5"/>
  <c r="G11" i="5"/>
  <c r="G14" i="5"/>
  <c r="G27" i="5"/>
  <c r="G22" i="5"/>
  <c r="H9" i="5"/>
  <c r="G3" i="5"/>
  <c r="G26" i="5"/>
  <c r="G6" i="5"/>
  <c r="G15" i="5"/>
  <c r="G4" i="5"/>
  <c r="H4" i="5"/>
  <c r="G23" i="5"/>
  <c r="H5" i="5"/>
  <c r="H22" i="5"/>
  <c r="G9" i="5"/>
  <c r="H3" i="5"/>
  <c r="H26" i="5"/>
  <c r="H6" i="5"/>
  <c r="T7" i="9" l="1"/>
  <c r="I5" i="4"/>
  <c r="C17" i="10" l="1"/>
  <c r="C21" i="10" l="1"/>
  <c r="C20" i="10"/>
  <c r="C7" i="10" l="1"/>
  <c r="AG3" i="10" l="1"/>
  <c r="AG4" i="10"/>
  <c r="AG5" i="10"/>
  <c r="AG6" i="10"/>
  <c r="AG7" i="10"/>
  <c r="AF6" i="10"/>
  <c r="AI6" i="10" s="1"/>
  <c r="AF7" i="10"/>
  <c r="AI7" i="10" s="1"/>
  <c r="AF3" i="10"/>
  <c r="AI3" i="10" s="1"/>
  <c r="AF4" i="10"/>
  <c r="AJ4" i="10" s="1"/>
  <c r="AQ4" i="10" s="1"/>
  <c r="AY4" i="10" s="1"/>
  <c r="AF5" i="10"/>
  <c r="AJ5" i="10" s="1"/>
  <c r="AO5" i="10" s="1"/>
  <c r="AW5" i="10" s="1"/>
  <c r="AL3" i="10" l="1"/>
  <c r="AT3" i="10" s="1"/>
  <c r="AL7" i="10"/>
  <c r="AT7" i="10" s="1"/>
  <c r="AN6" i="10"/>
  <c r="AV6" i="10" s="1"/>
  <c r="AH6" i="10"/>
  <c r="AH7" i="10"/>
  <c r="AH3" i="10"/>
  <c r="AL6" i="10"/>
  <c r="AT6" i="10" s="1"/>
  <c r="AM7" i="10"/>
  <c r="AU7" i="10" s="1"/>
  <c r="AM6" i="10"/>
  <c r="AU6" i="10" s="1"/>
  <c r="AN7" i="10"/>
  <c r="AV7" i="10" s="1"/>
  <c r="AN3" i="10"/>
  <c r="AV3" i="10" s="1"/>
  <c r="AO4" i="10"/>
  <c r="AW4" i="10" s="1"/>
  <c r="AP5" i="10"/>
  <c r="AX5" i="10" s="1"/>
  <c r="AP4" i="10"/>
  <c r="AX4" i="10" s="1"/>
  <c r="AQ5" i="10"/>
  <c r="AY5" i="10" s="1"/>
  <c r="AM3" i="10"/>
  <c r="AU3" i="10" s="1"/>
  <c r="AI4" i="10"/>
  <c r="AJ3" i="10"/>
  <c r="AK3" i="10" s="1"/>
  <c r="AJ7" i="10"/>
  <c r="AJ6" i="10"/>
  <c r="AI5" i="10"/>
  <c r="AS3" i="10" l="1"/>
  <c r="W17" i="9" s="1"/>
  <c r="AH5" i="10"/>
  <c r="AH4" i="10"/>
  <c r="AR3" i="10"/>
  <c r="T17" i="9" s="1"/>
  <c r="AK7" i="10"/>
  <c r="AR7" i="10" s="1"/>
  <c r="AP7" i="10"/>
  <c r="AX7" i="10" s="1"/>
  <c r="AQ7" i="10"/>
  <c r="AY7" i="10" s="1"/>
  <c r="AO7" i="10"/>
  <c r="AW7" i="10" s="1"/>
  <c r="AP3" i="10"/>
  <c r="AX3" i="10" s="1"/>
  <c r="AO3" i="10"/>
  <c r="AW3" i="10" s="1"/>
  <c r="AQ3" i="10"/>
  <c r="AY3" i="10" s="1"/>
  <c r="AK6" i="10"/>
  <c r="AR6" i="10" s="1"/>
  <c r="AO6" i="10"/>
  <c r="AW6" i="10" s="1"/>
  <c r="AQ6" i="10"/>
  <c r="AY6" i="10" s="1"/>
  <c r="AP6" i="10"/>
  <c r="AX6" i="10" s="1"/>
  <c r="AK5" i="10"/>
  <c r="AR5" i="10" s="1"/>
  <c r="AN5" i="10"/>
  <c r="AV5" i="10" s="1"/>
  <c r="AM5" i="10"/>
  <c r="AU5" i="10" s="1"/>
  <c r="AL5" i="10"/>
  <c r="AT5" i="10" s="1"/>
  <c r="AK4" i="10"/>
  <c r="AR4" i="10" s="1"/>
  <c r="AM4" i="10"/>
  <c r="AU4" i="10" s="1"/>
  <c r="AL4" i="10"/>
  <c r="AT4" i="10" s="1"/>
  <c r="AN4" i="10"/>
  <c r="AV4" i="10" s="1"/>
  <c r="AS5" i="10" l="1"/>
  <c r="W19" i="9" s="1"/>
  <c r="AS4" i="10"/>
  <c r="W18" i="9" s="1"/>
  <c r="AS7" i="10"/>
  <c r="W21" i="9" s="1"/>
  <c r="AS6" i="10"/>
  <c r="W20" i="9" s="1"/>
  <c r="T4" i="9"/>
  <c r="C12" i="10"/>
  <c r="G21" i="9" s="1"/>
  <c r="C13" i="10"/>
  <c r="J21" i="9" s="1"/>
  <c r="C16" i="10"/>
  <c r="AH21" i="9" s="1"/>
  <c r="C11" i="10"/>
  <c r="D21" i="9" s="1"/>
  <c r="C14" i="10"/>
  <c r="AB21" i="9" s="1"/>
  <c r="C15" i="10"/>
  <c r="AE21" i="9" s="1"/>
  <c r="T19" i="9"/>
  <c r="T20" i="9"/>
  <c r="T21" i="9"/>
  <c r="T18" i="9"/>
  <c r="C9" i="10" l="1"/>
  <c r="C10" i="10" s="1"/>
  <c r="T12" i="9" s="1"/>
  <c r="K10" i="5"/>
  <c r="AB3" i="10"/>
  <c r="AB4" i="10"/>
  <c r="AB5" i="10"/>
  <c r="AB6" i="10"/>
  <c r="AB7" i="10"/>
  <c r="AB8" i="10"/>
  <c r="AB9" i="10"/>
  <c r="AB10" i="10"/>
  <c r="AB11" i="10"/>
  <c r="AB12" i="10"/>
  <c r="AB13" i="10"/>
  <c r="AB14" i="10"/>
  <c r="AB15" i="10"/>
  <c r="AB16" i="10"/>
  <c r="AB17" i="10"/>
  <c r="AB18" i="10"/>
  <c r="AB19" i="10"/>
  <c r="AB20" i="10"/>
  <c r="AB21" i="10"/>
  <c r="AB22" i="10"/>
  <c r="AB23" i="10"/>
  <c r="AB24" i="10"/>
  <c r="AB25" i="10"/>
  <c r="AB26" i="10"/>
  <c r="AB27" i="10"/>
  <c r="AB28" i="10"/>
  <c r="AB29" i="10"/>
  <c r="AA3" i="10"/>
  <c r="AA4" i="10"/>
  <c r="AA5" i="10"/>
  <c r="AA6" i="10"/>
  <c r="AA7" i="10"/>
  <c r="AA8" i="10"/>
  <c r="AA9" i="10"/>
  <c r="AA10" i="10"/>
  <c r="AA11" i="10"/>
  <c r="AA12" i="10"/>
  <c r="AA13" i="10"/>
  <c r="AA14" i="10"/>
  <c r="AA15" i="10"/>
  <c r="AA16" i="10"/>
  <c r="AA17" i="10"/>
  <c r="AA18" i="10"/>
  <c r="AA19" i="10"/>
  <c r="AA20" i="10"/>
  <c r="AA21" i="10"/>
  <c r="AA22" i="10"/>
  <c r="AA23" i="10"/>
  <c r="AA24" i="10"/>
  <c r="AA25" i="10"/>
  <c r="AA26" i="10"/>
  <c r="AA27" i="10"/>
  <c r="AA28" i="10"/>
  <c r="AA29" i="10"/>
  <c r="AD3" i="10"/>
  <c r="AD4" i="10"/>
  <c r="AD5" i="10"/>
  <c r="AD6" i="10"/>
  <c r="AD7" i="10"/>
  <c r="AD8" i="10"/>
  <c r="AD9" i="10"/>
  <c r="AD10" i="10"/>
  <c r="AD11" i="10"/>
  <c r="AD12" i="10"/>
  <c r="AD13" i="10"/>
  <c r="AD14" i="10"/>
  <c r="AD15" i="10"/>
  <c r="AD16" i="10"/>
  <c r="AD17" i="10"/>
  <c r="AD18" i="10"/>
  <c r="AD19" i="10"/>
  <c r="AD20" i="10"/>
  <c r="AD21" i="10"/>
  <c r="AD22" i="10"/>
  <c r="AD23" i="10"/>
  <c r="AD24" i="10"/>
  <c r="AD25" i="10"/>
  <c r="AD26" i="10"/>
  <c r="AD27" i="10"/>
  <c r="AD28" i="10"/>
  <c r="AD29" i="10"/>
  <c r="AC3" i="10"/>
  <c r="AC4" i="10"/>
  <c r="AC5" i="10"/>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F7" i="5" l="1"/>
  <c r="F3" i="5"/>
  <c r="E6" i="5"/>
  <c r="E10" i="5"/>
  <c r="E14" i="5"/>
  <c r="E18" i="5"/>
  <c r="E22" i="5"/>
  <c r="E26" i="5"/>
  <c r="F26" i="5"/>
  <c r="F22" i="5"/>
  <c r="F18" i="5"/>
  <c r="F14" i="5"/>
  <c r="F10" i="5"/>
  <c r="F6" i="5"/>
  <c r="E3" i="5"/>
  <c r="E7" i="5"/>
  <c r="E11" i="5"/>
  <c r="E15" i="5"/>
  <c r="E19" i="5"/>
  <c r="E23" i="5"/>
  <c r="E27" i="5"/>
  <c r="F4" i="5"/>
  <c r="E9" i="5"/>
  <c r="F9" i="5"/>
  <c r="F5" i="5"/>
  <c r="E4" i="5"/>
  <c r="E8" i="5"/>
  <c r="F8" i="5"/>
  <c r="E5" i="5"/>
  <c r="H21" i="10"/>
  <c r="H22" i="10"/>
  <c r="H23" i="10"/>
  <c r="H24" i="10"/>
  <c r="H25" i="10"/>
  <c r="H26" i="10"/>
  <c r="H27" i="10"/>
  <c r="H28" i="10"/>
  <c r="H29" i="10"/>
  <c r="H4" i="10"/>
  <c r="H5" i="10"/>
  <c r="H6" i="10"/>
  <c r="H7" i="10"/>
  <c r="H8" i="10"/>
  <c r="H9" i="10"/>
  <c r="H10" i="10"/>
  <c r="H11" i="10"/>
  <c r="H12" i="10"/>
  <c r="H13" i="10"/>
  <c r="H14" i="10"/>
  <c r="H15" i="10"/>
  <c r="H16" i="10"/>
  <c r="H17" i="10"/>
  <c r="H18" i="10"/>
  <c r="H19" i="10"/>
  <c r="H20" i="10"/>
  <c r="H3" i="10"/>
  <c r="AQ3" i="9" l="1"/>
  <c r="AQ2" i="9"/>
  <c r="AS5" i="5" l="1"/>
  <c r="F2" i="1"/>
  <c r="C2" i="1"/>
  <c r="AR7" i="5"/>
  <c r="AR6" i="5"/>
  <c r="AR4" i="5"/>
  <c r="AR3" i="5"/>
  <c r="AS7" i="5" l="1"/>
  <c r="AS3" i="5"/>
  <c r="AS4" i="5"/>
  <c r="AS6" i="5"/>
  <c r="B11" i="5"/>
  <c r="Q3" i="5"/>
  <c r="Q4" i="5"/>
  <c r="Q5" i="5"/>
  <c r="Q6" i="5"/>
  <c r="Q7" i="5"/>
  <c r="AG3" i="5"/>
  <c r="AG4" i="5"/>
  <c r="AG5" i="5"/>
  <c r="AG6" i="5"/>
  <c r="AG7" i="5"/>
  <c r="AE3" i="5"/>
  <c r="AE4" i="5"/>
  <c r="AE5" i="5"/>
  <c r="AE6" i="5"/>
  <c r="AE7" i="5"/>
  <c r="J7" i="5" l="1"/>
  <c r="J6" i="5"/>
  <c r="J5" i="5"/>
  <c r="J4" i="5"/>
  <c r="J3" i="5"/>
  <c r="B27" i="5"/>
  <c r="B28" i="5"/>
  <c r="B29" i="5"/>
  <c r="B26" i="5"/>
  <c r="B24" i="5"/>
  <c r="B25" i="5"/>
  <c r="B8" i="5"/>
  <c r="B9" i="5"/>
  <c r="B10" i="5"/>
  <c r="B12" i="5"/>
  <c r="B13" i="5"/>
  <c r="B14" i="5"/>
  <c r="B15" i="5"/>
  <c r="B16" i="5"/>
  <c r="B17" i="5"/>
  <c r="B18" i="5"/>
  <c r="B19" i="5"/>
  <c r="B20" i="5"/>
  <c r="B21" i="5"/>
  <c r="B22" i="5"/>
  <c r="B23" i="5"/>
  <c r="B4" i="5"/>
  <c r="B5" i="5"/>
  <c r="B6" i="5"/>
  <c r="B7" i="5"/>
  <c r="B3" i="5"/>
  <c r="M3" i="5" l="1"/>
  <c r="M5" i="5"/>
  <c r="AT5" i="5" s="1"/>
  <c r="M6" i="5"/>
  <c r="M7" i="5"/>
  <c r="M4" i="5"/>
  <c r="AV5" i="5" l="1"/>
  <c r="AW5" i="5" s="1"/>
  <c r="X19" i="15"/>
  <c r="AT4" i="5"/>
  <c r="AT7" i="5"/>
  <c r="AT3" i="5"/>
  <c r="AT6" i="5"/>
  <c r="R4" i="5"/>
  <c r="AF4" i="5" s="1"/>
  <c r="F15" i="5" s="1"/>
  <c r="R5" i="5"/>
  <c r="AF5" i="5" s="1"/>
  <c r="F19" i="5" s="1"/>
  <c r="R6" i="5"/>
  <c r="AH6" i="5" s="1"/>
  <c r="R7" i="5"/>
  <c r="AH7" i="5" s="1"/>
  <c r="H27" i="5" s="1"/>
  <c r="R3" i="5"/>
  <c r="AF3" i="5" s="1"/>
  <c r="F11" i="5" s="1"/>
  <c r="S5" i="5"/>
  <c r="S6" i="5"/>
  <c r="S4" i="5"/>
  <c r="S7" i="5"/>
  <c r="T7" i="5"/>
  <c r="T6" i="5"/>
  <c r="S3" i="5"/>
  <c r="T4" i="5"/>
  <c r="T3" i="5"/>
  <c r="T5" i="5"/>
  <c r="AI3" i="1"/>
  <c r="AI2" i="1"/>
  <c r="AV6" i="5" l="1"/>
  <c r="AW6" i="5" s="1"/>
  <c r="AA19" i="15"/>
  <c r="AV3" i="5"/>
  <c r="AW3" i="5" s="1"/>
  <c r="R19" i="15"/>
  <c r="AV7" i="5"/>
  <c r="AW7" i="5" s="1"/>
  <c r="AD19" i="15"/>
  <c r="AV4" i="5"/>
  <c r="AW4" i="5" s="1"/>
  <c r="U19" i="15"/>
  <c r="AK6" i="5"/>
  <c r="G24" i="5" s="1"/>
  <c r="H23" i="5"/>
  <c r="AF6" i="5"/>
  <c r="F23" i="5" s="1"/>
  <c r="AH5" i="5"/>
  <c r="AF7" i="5"/>
  <c r="F27" i="5" s="1"/>
  <c r="AK7" i="5"/>
  <c r="G28" i="5" s="1"/>
  <c r="AI5" i="5"/>
  <c r="E20" i="5" s="1"/>
  <c r="AI4" i="5"/>
  <c r="E16" i="5" s="1"/>
  <c r="AH3" i="5"/>
  <c r="AU5" i="5"/>
  <c r="X19" i="1"/>
  <c r="AU7" i="5"/>
  <c r="AD19" i="1"/>
  <c r="AU3" i="5"/>
  <c r="R19" i="1"/>
  <c r="AU6" i="5"/>
  <c r="AA19" i="1"/>
  <c r="AU4" i="5"/>
  <c r="U19" i="1"/>
  <c r="AH4" i="5"/>
  <c r="AL6" i="5"/>
  <c r="H24" i="5" s="1"/>
  <c r="AI3" i="5"/>
  <c r="E12" i="5" s="1"/>
  <c r="K7" i="3"/>
  <c r="J7" i="3"/>
  <c r="I7" i="3"/>
  <c r="H7" i="3"/>
  <c r="G7" i="3"/>
  <c r="F7" i="3"/>
  <c r="E7" i="3"/>
  <c r="D7" i="3"/>
  <c r="C7" i="3"/>
  <c r="B7" i="3"/>
  <c r="AK3" i="5" l="1"/>
  <c r="G12" i="5" s="1"/>
  <c r="H11" i="5"/>
  <c r="AK4" i="5"/>
  <c r="G16" i="5" s="1"/>
  <c r="H15" i="5"/>
  <c r="AK5" i="5"/>
  <c r="G20" i="5" s="1"/>
  <c r="H19" i="5"/>
  <c r="AL7" i="5"/>
  <c r="H28" i="5" s="1"/>
  <c r="AI6" i="5"/>
  <c r="E24" i="5" s="1"/>
  <c r="C3" i="10"/>
  <c r="C4" i="10"/>
  <c r="AI7" i="5"/>
  <c r="E28" i="5" s="1"/>
  <c r="AJ5" i="5"/>
  <c r="F20" i="5" s="1"/>
  <c r="AL3" i="5"/>
  <c r="H12" i="5" s="1"/>
  <c r="AJ4" i="5"/>
  <c r="F16" i="5" s="1"/>
  <c r="AO6" i="5"/>
  <c r="AJ3" i="5"/>
  <c r="F12" i="5" s="1"/>
  <c r="AL5" i="5" l="1"/>
  <c r="H20" i="5" s="1"/>
  <c r="AL4" i="5"/>
  <c r="H16" i="5" s="1"/>
  <c r="AP6" i="5"/>
  <c r="H25" i="5" s="1"/>
  <c r="G25" i="5"/>
  <c r="AO7" i="5"/>
  <c r="G29" i="5" s="1"/>
  <c r="AJ6" i="5"/>
  <c r="F24" i="5" s="1"/>
  <c r="C2" i="10"/>
  <c r="C5" i="10" s="1"/>
  <c r="AJ7" i="5"/>
  <c r="F28" i="5" s="1"/>
  <c r="AM5" i="5"/>
  <c r="AO3" i="5"/>
  <c r="AM4" i="5"/>
  <c r="E17" i="5" s="1"/>
  <c r="AM3" i="5"/>
  <c r="E13" i="5" s="1"/>
  <c r="AO5" i="5" l="1"/>
  <c r="G21" i="5" s="1"/>
  <c r="AO4" i="5"/>
  <c r="G17" i="5" s="1"/>
  <c r="AP3" i="5"/>
  <c r="H13" i="5" s="1"/>
  <c r="G13" i="5"/>
  <c r="AN5" i="5"/>
  <c r="F21" i="5" s="1"/>
  <c r="E21" i="5"/>
  <c r="AP7" i="5"/>
  <c r="H29" i="5" s="1"/>
  <c r="AM6" i="5"/>
  <c r="C6" i="10"/>
  <c r="AM7" i="5"/>
  <c r="E29" i="5" s="1"/>
  <c r="AN4" i="5"/>
  <c r="F17" i="5" s="1"/>
  <c r="AN3" i="5"/>
  <c r="F13" i="5" s="1"/>
  <c r="AP4" i="5" l="1"/>
  <c r="H17" i="5" s="1"/>
  <c r="AP5" i="5"/>
  <c r="H21" i="5" s="1"/>
  <c r="AN6" i="5"/>
  <c r="F25" i="5" s="1"/>
  <c r="E25" i="5"/>
  <c r="AN7" i="5"/>
  <c r="F29" i="5" s="1"/>
  <c r="Z18" i="10"/>
  <c r="W25" i="10"/>
  <c r="Z13" i="10"/>
  <c r="Z15" i="10"/>
  <c r="X25" i="10"/>
  <c r="X22" i="10"/>
  <c r="W12" i="10"/>
  <c r="X24" i="10"/>
  <c r="Y29" i="10"/>
  <c r="X27" i="10"/>
  <c r="Y24" i="10"/>
  <c r="Z20" i="10"/>
  <c r="Y6" i="10"/>
  <c r="Z14" i="10"/>
  <c r="W21" i="10"/>
  <c r="Y10" i="10"/>
  <c r="X5" i="10"/>
  <c r="Z17" i="10"/>
  <c r="Y23" i="10"/>
  <c r="Z4" i="10"/>
  <c r="Z29" i="10"/>
  <c r="Z23" i="10"/>
  <c r="W6" i="10"/>
  <c r="W11" i="10"/>
  <c r="W5" i="10"/>
  <c r="W10" i="10"/>
  <c r="Y11" i="10"/>
  <c r="Z5" i="10"/>
  <c r="Y3" i="10"/>
  <c r="Z7" i="10"/>
  <c r="W28" i="10"/>
  <c r="X4" i="10"/>
  <c r="Z16" i="10"/>
  <c r="Y18" i="10"/>
  <c r="Y4" i="10"/>
  <c r="W14" i="10"/>
  <c r="W27" i="10"/>
  <c r="Z26" i="10"/>
  <c r="W13" i="10"/>
  <c r="W7" i="10"/>
  <c r="Z3" i="10"/>
  <c r="X13" i="10"/>
  <c r="Y25" i="10"/>
  <c r="X11" i="10"/>
  <c r="Y7" i="10"/>
  <c r="Z12" i="10"/>
  <c r="X15" i="10"/>
  <c r="X21" i="10"/>
  <c r="Y22" i="10"/>
  <c r="X12" i="10"/>
  <c r="Y5" i="10"/>
  <c r="X7" i="10"/>
  <c r="Y12" i="10"/>
  <c r="W22" i="10"/>
  <c r="Z9" i="10"/>
  <c r="W23" i="10"/>
  <c r="Y9" i="10"/>
  <c r="Z22" i="10"/>
  <c r="Z27" i="10"/>
  <c r="W15" i="10"/>
  <c r="X6" i="10"/>
  <c r="W4" i="10"/>
  <c r="X20" i="10"/>
  <c r="Y21" i="10"/>
  <c r="X19" i="10"/>
  <c r="Y20" i="10"/>
  <c r="Z8" i="10"/>
  <c r="Z25" i="10"/>
  <c r="Y19" i="10"/>
  <c r="W29" i="10"/>
  <c r="Z21" i="10"/>
  <c r="Z19" i="10"/>
  <c r="X29" i="10"/>
  <c r="W3" i="10"/>
  <c r="W20" i="10"/>
  <c r="Y27" i="10"/>
  <c r="Y13" i="10"/>
  <c r="Z11" i="10"/>
  <c r="W26" i="10"/>
  <c r="Z10" i="10"/>
  <c r="X28" i="10"/>
  <c r="X10" i="10"/>
  <c r="W8" i="10"/>
  <c r="Y28" i="10"/>
  <c r="Z28" i="10"/>
  <c r="X23" i="10"/>
  <c r="W16" i="10"/>
  <c r="W19" i="10"/>
  <c r="Z6" i="10"/>
  <c r="W9" i="10"/>
  <c r="X26" i="10"/>
  <c r="W24" i="10"/>
  <c r="X9" i="10"/>
  <c r="Y17" i="10"/>
  <c r="X3" i="10"/>
  <c r="X8" i="10"/>
  <c r="Z24" i="10"/>
  <c r="Y26" i="10"/>
  <c r="Y8" i="10"/>
  <c r="W18" i="10"/>
  <c r="Y14" i="10"/>
  <c r="X16" i="10"/>
  <c r="X18" i="10"/>
  <c r="X14" i="10"/>
  <c r="W17" i="10"/>
  <c r="X17" i="10"/>
  <c r="Y16" i="10"/>
  <c r="Y15"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<sst xmlns="http://schemas.openxmlformats.org/spreadsheetml/2006/main" count="993" uniqueCount="854">
  <si>
    <t>v. 210714</t>
  </si>
  <si>
    <t>English</t>
  </si>
  <si>
    <t>Row</t>
  </si>
  <si>
    <t>Tab</t>
  </si>
  <si>
    <t>Location</t>
  </si>
  <si>
    <t>Language 1</t>
  </si>
  <si>
    <t>Language 2</t>
  </si>
  <si>
    <t>Language 3</t>
  </si>
  <si>
    <t>Language 4</t>
  </si>
  <si>
    <t>Language 5</t>
  </si>
  <si>
    <t>Language 6</t>
  </si>
  <si>
    <t>Language 7</t>
  </si>
  <si>
    <t>Language 8</t>
  </si>
  <si>
    <t>Language 9</t>
  </si>
  <si>
    <t>Language 10</t>
  </si>
  <si>
    <t>Display</t>
  </si>
  <si>
    <t>Data In</t>
  </si>
  <si>
    <t>Data In1</t>
  </si>
  <si>
    <t>Data In (From Source)</t>
  </si>
  <si>
    <t>Entrada de dados (Da Fonte)</t>
  </si>
  <si>
    <t>Datos entrantes (desde la fuente)</t>
  </si>
  <si>
    <t>Dateneingang (von der Quelle)</t>
  </si>
  <si>
    <t>Données entrantes (de la source)</t>
  </si>
  <si>
    <t>入力データ（ソースから）</t>
  </si>
  <si>
    <t>Select Language</t>
  </si>
  <si>
    <t>Data In2</t>
  </si>
  <si>
    <t>Data coming from the current data source will appear below as it is received.</t>
  </si>
  <si>
    <t>Os dados que vêm da fonte de dados atual aparecerão abaixo à medida que eles são recebidos.</t>
  </si>
  <si>
    <t>Los datos procedentes de la fuente de datos actual aparecerán a continuación a medida que se reciben.</t>
  </si>
  <si>
    <t>Daten aus der aktuellen Datenquelle werden unten angezeigt, sobald sie empfangen werden.</t>
  </si>
  <si>
    <t>Les données provenant de la source de données actuelle apparaîtront ci-dessous dès leur réception.</t>
  </si>
  <si>
    <t>その時点のデータソースからのデータが受信されると、以下のように表示されます。</t>
  </si>
  <si>
    <t>Data In3</t>
  </si>
  <si>
    <t>Current Data</t>
  </si>
  <si>
    <t>Dados Atuais</t>
  </si>
  <si>
    <t>Datos actuales</t>
  </si>
  <si>
    <t>Aktuelle Daten</t>
  </si>
  <si>
    <t>Données actuelles</t>
  </si>
  <si>
    <t>現在のデータ</t>
  </si>
  <si>
    <t>Data In4</t>
  </si>
  <si>
    <t>Time</t>
  </si>
  <si>
    <t>Tempo</t>
  </si>
  <si>
    <t>Tiempo</t>
  </si>
  <si>
    <t>Zeit</t>
  </si>
  <si>
    <t>Temps</t>
  </si>
  <si>
    <t>時間</t>
  </si>
  <si>
    <t>Português</t>
  </si>
  <si>
    <t>Data In5</t>
  </si>
  <si>
    <t>Historical Data</t>
  </si>
  <si>
    <t>Dados de Histórico</t>
  </si>
  <si>
    <t>Datos históricos</t>
  </si>
  <si>
    <t>Historische Daten</t>
  </si>
  <si>
    <t>Données historiques</t>
  </si>
  <si>
    <t>過去のデータ</t>
  </si>
  <si>
    <t>Español</t>
  </si>
  <si>
    <t>Data Out</t>
  </si>
  <si>
    <t>Data Out6</t>
  </si>
  <si>
    <t>Data Out (To Device)</t>
  </si>
  <si>
    <t>Saída de Dados (Para o Dispositivo)</t>
  </si>
  <si>
    <t>Salida de datos (hacia el dispositivo)</t>
  </si>
  <si>
    <t>Datenausgang (zum Gerät)</t>
  </si>
  <si>
    <t>Données sortantes (à partir du dispositif)</t>
  </si>
  <si>
    <t>出力データ（デバイスへ）</t>
  </si>
  <si>
    <t>Deutsch</t>
  </si>
  <si>
    <t>Data Out7</t>
  </si>
  <si>
    <t>Data entered into the channels below will be sent to the currently connected device as a comma-delimited string.</t>
  </si>
  <si>
    <t>Os dados inseridos nos canais abaixo serão enviados para o dispositivo atualmente conectado como uma string delimitada por vírgula.</t>
  </si>
  <si>
    <t>Los datos introducidos en los canales siguientes se enviarán al dispositivo actualmente conectado como una cadena delimitada por comas.</t>
  </si>
  <si>
    <t>Die in die folgenden Kanäle eingegebenen Daten werden als kommagetrennte Zeichenkette an das aktuell angeschlossene Gerät gesendet.</t>
  </si>
  <si>
    <t>Les données saisies dans les canaux ci-dessous seront envoyées au dispositif actuellement connecté sous forme de chaîne délimitée par des virgules.</t>
  </si>
  <si>
    <t>以下のチャンネルに入力されたデータは、その時点で接続されているデバイスにカンマ区切りの文字列として送信されます。</t>
  </si>
  <si>
    <t>Français</t>
  </si>
  <si>
    <t>Settings</t>
  </si>
  <si>
    <t>Settings8</t>
  </si>
  <si>
    <t>Workbook Settings</t>
  </si>
  <si>
    <t>Configurações da Pasta de Trabalho</t>
  </si>
  <si>
    <t>Configuración del libro de trabajo</t>
  </si>
  <si>
    <t>Arbeitsmappen-Einstellungen</t>
  </si>
  <si>
    <t>Paramètres du classeur</t>
  </si>
  <si>
    <t>ワークブックの設定</t>
  </si>
  <si>
    <t>日本語</t>
  </si>
  <si>
    <t>Settings9</t>
  </si>
  <si>
    <t>Settings below will affect how data is read into the current workbook from data sources. Clear a field's contents to revert to its default setting.</t>
  </si>
  <si>
    <t>As configurações abaixo irão afetar como os dados são lidos na pasta de trabalho atual a partir das fontes de dados. Limpe o conteúdo de um campo para voltar à sua configuração padrão.</t>
  </si>
  <si>
    <t>Los ajustes que se indican a continuación afectarán a la forma en que los datos se leen en el libro de trabajo actual a partir de fuentes de datos. Borra el contenido de un campo para volver a su configuración predeterminada.</t>
  </si>
  <si>
    <t>Die folgenden Einstellungen beeinflussen, wie Daten aus Datenquellen in die aktuelle Arbeitsmappe eingelesen werden. Lösche den Inhalt eines Feldes, um zur Standardeinstellung zurückzukehren.</t>
  </si>
  <si>
    <t>Les paramètres ci-dessous affectent la manière dont les données sont lues dans le classeur actuel à partir des sources de données. Effacer le contenu d'un champ pour revenir à ses paramètres par défaut.</t>
  </si>
  <si>
    <t>以下の設定内容によって、データ ソースから現在のワークブックにデータを読み込む方法が変わります。初期設定に戻すには、フィールドの内容をクリアしてください。</t>
  </si>
  <si>
    <t>Settings10</t>
  </si>
  <si>
    <t>Data interval (ms):</t>
  </si>
  <si>
    <t xml:space="preserve">Intervalo de dados (ms):  </t>
  </si>
  <si>
    <t xml:space="preserve">Intervalo de datos (ms):  </t>
  </si>
  <si>
    <t xml:space="preserve">Datenintervall (ms):  </t>
  </si>
  <si>
    <t>Intervalle de données (ms):</t>
  </si>
  <si>
    <t>データ間隔（ミリ秒）:</t>
  </si>
  <si>
    <t>Settings11</t>
  </si>
  <si>
    <t>Data rows:</t>
  </si>
  <si>
    <t xml:space="preserve">Linhas de dados:  </t>
  </si>
  <si>
    <t xml:space="preserve">Líneas de datos:  </t>
  </si>
  <si>
    <t>Datenzeilen:</t>
  </si>
  <si>
    <t>Lignes de données :</t>
  </si>
  <si>
    <t>データ列:</t>
  </si>
  <si>
    <t>Settings12</t>
  </si>
  <si>
    <t>Data channels:</t>
  </si>
  <si>
    <t xml:space="preserve">Canais de dados:  </t>
  </si>
  <si>
    <t xml:space="preserve">Canales de datos:  </t>
  </si>
  <si>
    <t xml:space="preserve">Datenkanäle:  </t>
  </si>
  <si>
    <t>Canaux de données :</t>
  </si>
  <si>
    <t>データチャネル:</t>
  </si>
  <si>
    <t>Settings13</t>
  </si>
  <si>
    <t>Data orientation:</t>
  </si>
  <si>
    <t xml:space="preserve">Orientação de dados:  </t>
  </si>
  <si>
    <t xml:space="preserve">Orientación de datos:  </t>
  </si>
  <si>
    <t xml:space="preserve">Datenorientierung:  </t>
  </si>
  <si>
    <t>Orientation des données:</t>
  </si>
  <si>
    <t>データの向き:</t>
  </si>
  <si>
    <t>Settings14</t>
  </si>
  <si>
    <t>WARNING: Changing settings may result in the loss of content and/or custom formatting in the Data In and Data Out worksheets. Always save before changing values.</t>
  </si>
  <si>
    <t>AVISO: A alteração das configurações pode resultar na perda de conteúdo e/ou formatação personalizada nas planilhas Entrada de Dados e Saída de Dados. Sempre salve antes de alterar os valores.</t>
  </si>
  <si>
    <t>ADVERTENCIA: Cambiar la configuración puede resultar en la pérdida de contenido y/o formato personalizado en las hojas de trabajo de entrada y salida de datos. Guarda siempre antes de cambiar los valores.</t>
  </si>
  <si>
    <t>WARNUNG: Das Ändern von Einstellungen kann zum Verlust von Inhalten und/oder zur benutzerdefinierten Formatierung in den Arbeitsblättern Dateneingang und Datenausgang führen. Speichere immer, bevor du Werte änderst.</t>
  </si>
  <si>
    <t>AVERTISSEMENT : toute modification des paramètres peut entraîner une perte de contenu et / ou un formatage personnalisé dans les feuilles de calcul des Données entrantes et Données sortantes. Toujours sauvegarder avant de changer les valeurs.</t>
  </si>
  <si>
    <t>注意事項: 設定を変更すると、データ インとデータ アウトのワークシートの内容やカスタム フォーマットが失われることがあります。値を変更する前に必ず保存してください。</t>
  </si>
  <si>
    <t>Instructions</t>
  </si>
  <si>
    <t>Instructions15</t>
  </si>
  <si>
    <t>Select language </t>
  </si>
  <si>
    <t>Selecionar idioma </t>
  </si>
  <si>
    <t>Selecciona el idioma </t>
  </si>
  <si>
    <t>Sprache auswählen </t>
  </si>
  <si>
    <t>Choisir la langue </t>
  </si>
  <si>
    <t>言語を選択してください </t>
  </si>
  <si>
    <t>Instructions16</t>
  </si>
  <si>
    <t>This workbook uses "Macros" (automated Excel commands) to assist in the data collection process.</t>
  </si>
  <si>
    <t>Esta pasta de trabalho usa "Macros" (comandos automatizados do Excel) para auxiliar no processo de coleta de dados</t>
  </si>
  <si>
    <t>Este libro de trabajo utiliza "Macros" (comandos automatizados de Excel) para ayudar en el proceso de recopilación de datos.</t>
  </si>
  <si>
    <t>Diese Arbeitsmappe verwendet "Makros" (automatisierte Excel-Befehle), um den Datenerfassungsprozess zu unterstützen.</t>
  </si>
  <si>
    <t>Ce classeur utilise des « Macros » (commandes Excel automatisées) pour faciliter le processus de collecte de données.</t>
  </si>
  <si>
    <t>データを収集しやすくするために、このワークブックでは「マクロ」（自動化されたエクセルコマンド）を使用しています。</t>
  </si>
  <si>
    <t>Instructions17</t>
  </si>
  <si>
    <t>To use these Macros and have buttons on the spreadsheets work, you must "Enable" the Macros.</t>
  </si>
  <si>
    <t>Para usar essas Macros e ter botões nas planilhas funcionando, você deve "Habilitar" as Macros</t>
  </si>
  <si>
    <t>Para utilizar estas macros y tener botones en las hojas de cálculo, debes "Habilitar" las macros.</t>
  </si>
  <si>
    <t>Um diese Makros zu verwenden und Schaltflächen auf den Tabellenkalkulationen zu haben, musst du die Makros "aktivieren".</t>
  </si>
  <si>
    <t>Pour utiliser ces Macros et utiliser des boutons sur les feuilles de calcul, vous devez « activer » les Macros.</t>
  </si>
  <si>
    <t>これらのマクロを使用し、Excelシート上のボタンを動作させるには、マクロを「有効」にする必要があります。</t>
  </si>
  <si>
    <t>Instructions18</t>
  </si>
  <si>
    <t>Click the "Enable Content" button that appears above when you first open this workbook.</t>
  </si>
  <si>
    <t>Clique no botão "Habilitar Conteúdo" exibido acima quando você abrir a pasta de trabalho pela primeira vez</t>
  </si>
  <si>
    <t>Haz clic en el botón "Habilitar contenido" que aparece arriba cuando abras por primera vez este libro de trabajo.</t>
  </si>
  <si>
    <t>Klicke auf die Schaltfläche "Inhalt aktivieren", die oben erscheint, wenn du diese Arbeitsmappe zum ersten Mal öffnest.</t>
  </si>
  <si>
    <t>Cliquez sur le bouton « Activer le contenu » qui apparaît ci-dessus lorsque vous ouvrez ce classeur pour la première fois.</t>
  </si>
  <si>
    <t>このワークブックを最初に開いたときに上に表示される「コンテンツを有効にする」ボタンをクリックしてください。</t>
  </si>
  <si>
    <t>Instructions19</t>
  </si>
  <si>
    <t>Once you have enabled macros, you can use the workbook.  If you do not see this message, macros are enabled.</t>
  </si>
  <si>
    <t>Depois de habilitar as macros, você poderá usar a pasta de trabalho.  Se você não vir essa mensagem, as macros serão habilitadas</t>
  </si>
  <si>
    <t>Una vez que hayas activado las macros, podrás utilizar el libro de trabajo.  Si no ves este mensaje, las macros están habilitadas</t>
  </si>
  <si>
    <t>Sobald du Makros aktiviert hast, kannst du die Arbeitsmappe verwenden.  Wenn du diese Meldung nicht siehst, sind die Makros aktiviert.</t>
  </si>
  <si>
    <t>Une fois que vous avez activé les Macros, vous pouvez utiliser le classeur. Si vous ne voyez pas ce message, les Macros sont activées.</t>
  </si>
  <si>
    <t>マクロを有効にすると、ワークブックを使用できるようになります。 このメッセージが表示されない場合は、マクロが有効になっています。</t>
  </si>
  <si>
    <t>Left Hand</t>
  </si>
  <si>
    <t>Mão Esquerda</t>
  </si>
  <si>
    <t>Mano Izquierda</t>
  </si>
  <si>
    <t>Linke Hand</t>
  </si>
  <si>
    <t>Main gauche</t>
  </si>
  <si>
    <t>左手</t>
  </si>
  <si>
    <t>Right Hand</t>
  </si>
  <si>
    <t>Mão Direita</t>
  </si>
  <si>
    <t>Mano Derecha</t>
  </si>
  <si>
    <t>Rechte Hand</t>
  </si>
  <si>
    <t>Main droite</t>
  </si>
  <si>
    <t>右手</t>
  </si>
  <si>
    <t>Phalanx</t>
  </si>
  <si>
    <t>Falange</t>
  </si>
  <si>
    <t>Phalange</t>
  </si>
  <si>
    <t>ファランクス</t>
  </si>
  <si>
    <t>Phalanx flexion</t>
  </si>
  <si>
    <t>Flexão da falange</t>
  </si>
  <si>
    <t>Flexión de la falange</t>
  </si>
  <si>
    <t>Flexion de la phalange</t>
  </si>
  <si>
    <t>指を曲げる動作</t>
  </si>
  <si>
    <t>Thumb</t>
  </si>
  <si>
    <t>Polegar</t>
  </si>
  <si>
    <t>Pulgar</t>
  </si>
  <si>
    <t>Daumen</t>
  </si>
  <si>
    <t>Pouce</t>
  </si>
  <si>
    <t>親指</t>
  </si>
  <si>
    <t>Index</t>
  </si>
  <si>
    <t>Índice</t>
  </si>
  <si>
    <t>Zeigefinger</t>
  </si>
  <si>
    <t>人差し指</t>
  </si>
  <si>
    <t>Middle</t>
  </si>
  <si>
    <t>Meio</t>
  </si>
  <si>
    <t>Medio</t>
  </si>
  <si>
    <t>Mitte</t>
  </si>
  <si>
    <t>Majeur</t>
  </si>
  <si>
    <t>中指</t>
  </si>
  <si>
    <t>Ring</t>
  </si>
  <si>
    <t>Anel</t>
  </si>
  <si>
    <t>Anular</t>
  </si>
  <si>
    <t>Ringfinger</t>
  </si>
  <si>
    <t>Annulaire</t>
  </si>
  <si>
    <t>薬指</t>
  </si>
  <si>
    <t>Pinky</t>
  </si>
  <si>
    <t>Rosado</t>
  </si>
  <si>
    <t>Meñique</t>
  </si>
  <si>
    <t>Kleiner Finger</t>
  </si>
  <si>
    <t>Auriculaire</t>
  </si>
  <si>
    <t>小指</t>
  </si>
  <si>
    <t>Finger digit</t>
  </si>
  <si>
    <t>Dígito do dedo</t>
  </si>
  <si>
    <t>Dígito dactilar</t>
  </si>
  <si>
    <t>Fingerglieder</t>
  </si>
  <si>
    <t>Doigt</t>
  </si>
  <si>
    <t>指</t>
  </si>
  <si>
    <t>100% = Full Flexion</t>
  </si>
  <si>
    <t>100% = Flexão total</t>
  </si>
  <si>
    <t>100% = Flexión total</t>
  </si>
  <si>
    <t>100% = Volle Beugung</t>
  </si>
  <si>
    <t>100% = Flexion complète</t>
  </si>
  <si>
    <t>100% = 完全に曲げた状態</t>
  </si>
  <si>
    <t>0% = Full Extension</t>
  </si>
  <si>
    <t xml:space="preserve"> 0% = Extensão total</t>
  </si>
  <si>
    <t xml:space="preserve"> 0% = Extensión total</t>
  </si>
  <si>
    <t>0% = Volles Austrecken</t>
  </si>
  <si>
    <t>0% = Extension complète</t>
  </si>
  <si>
    <t>0% = 完全に伸ばした状態</t>
  </si>
  <si>
    <t>Distal Phalanges</t>
  </si>
  <si>
    <t>Falanges Distais</t>
  </si>
  <si>
    <t>Falanges distales</t>
  </si>
  <si>
    <t>Distale Phalanx</t>
  </si>
  <si>
    <t>Phalanges distales</t>
  </si>
  <si>
    <t>末節骨（指の一番先の部分）</t>
  </si>
  <si>
    <t>Middle Phalanges</t>
  </si>
  <si>
    <t>Falanges Médias</t>
  </si>
  <si>
    <t>Falanges medias</t>
  </si>
  <si>
    <t>Mittlere Phalanx</t>
  </si>
  <si>
    <t>Phalanges moyennes</t>
  </si>
  <si>
    <t>中節骨（指の真ん中の部分）</t>
  </si>
  <si>
    <t>Proximal Phalanges</t>
  </si>
  <si>
    <t>Falanges Proximais</t>
  </si>
  <si>
    <t>Falanges proximales</t>
  </si>
  <si>
    <t>Promimale Phalanx</t>
  </si>
  <si>
    <t>Phalanges proximales</t>
  </si>
  <si>
    <t>基節骨（指の付け根の部分）</t>
  </si>
  <si>
    <t>Metacarpals</t>
  </si>
  <si>
    <t>Metacarpos</t>
  </si>
  <si>
    <t>Metacarpiano</t>
  </si>
  <si>
    <t>Metacarpalia</t>
  </si>
  <si>
    <t>Métacarpiens</t>
  </si>
  <si>
    <t>中手骨（手のひらの中にある部分）</t>
  </si>
  <si>
    <t>You</t>
  </si>
  <si>
    <t>Você</t>
  </si>
  <si>
    <t>Tú</t>
  </si>
  <si>
    <t>Du</t>
  </si>
  <si>
    <t xml:space="preserve">Vous </t>
  </si>
  <si>
    <t>あなた</t>
  </si>
  <si>
    <t>Excel</t>
  </si>
  <si>
    <t>You Win!</t>
  </si>
  <si>
    <t>Você Ganhou!</t>
  </si>
  <si>
    <t>¡Tú ganas!</t>
  </si>
  <si>
    <t>Du gewinnst!</t>
  </si>
  <si>
    <t>Tu gagnes!</t>
  </si>
  <si>
    <t>あなたの勝ち！</t>
  </si>
  <si>
    <t>Excel Wins</t>
  </si>
  <si>
    <t>Excel Ganhou!</t>
  </si>
  <si>
    <t>¡Excel gana!</t>
  </si>
  <si>
    <t>Excel gewinnt!</t>
  </si>
  <si>
    <t>Excel gagne!</t>
  </si>
  <si>
    <t>Excelの勝利です</t>
  </si>
  <si>
    <t>Tie game!</t>
  </si>
  <si>
    <t>Empate da partida!</t>
  </si>
  <si>
    <t>Juego Empatado!</t>
  </si>
  <si>
    <t>Spiel unentschieden</t>
  </si>
  <si>
    <t>Tirage du match!</t>
  </si>
  <si>
    <t>タイゲーム!</t>
  </si>
  <si>
    <t>READY!</t>
  </si>
  <si>
    <t>PRONTO!</t>
  </si>
  <si>
    <t>¡LISTO!</t>
  </si>
  <si>
    <t xml:space="preserve">BEREIT! </t>
  </si>
  <si>
    <t>PRÊT!</t>
  </si>
  <si>
    <t>準備！</t>
  </si>
  <si>
    <t>SET!</t>
  </si>
  <si>
    <t>¡CONFIGURAÇÃO!</t>
  </si>
  <si>
    <t>¡PREPARADOS!</t>
  </si>
  <si>
    <t xml:space="preserve">FESTGELEGT! </t>
  </si>
  <si>
    <t>PRÉPARÉ!</t>
  </si>
  <si>
    <t>設定！</t>
  </si>
  <si>
    <t>GO!</t>
  </si>
  <si>
    <t>COMEÇAR!</t>
  </si>
  <si>
    <t>¡YA!</t>
  </si>
  <si>
    <t>GEHEN!</t>
  </si>
  <si>
    <t>PARTEZ !</t>
  </si>
  <si>
    <t>始め！</t>
  </si>
  <si>
    <t>ROUND</t>
  </si>
  <si>
    <t>RODADA</t>
  </si>
  <si>
    <t>RONDA</t>
  </si>
  <si>
    <t>RUNDE</t>
  </si>
  <si>
    <t>PARTIE</t>
  </si>
  <si>
    <t>ラウンド</t>
  </si>
  <si>
    <t>Start New Match </t>
  </si>
  <si>
    <t>Iniciar Nova Partida </t>
  </si>
  <si>
    <t>Comenzar un Nuevo Juego </t>
  </si>
  <si>
    <t>Neues Spiel Starten </t>
  </si>
  <si>
    <t>Commencer une nouvelle partie </t>
  </si>
  <si>
    <t>新しい一致を開始 </t>
  </si>
  <si>
    <t>Match In Progress </t>
  </si>
  <si>
    <t>Partida em Andamento </t>
  </si>
  <si>
    <t>Juego en curso </t>
  </si>
  <si>
    <t>Spiel im Gange </t>
  </si>
  <si>
    <t>Partie en cours </t>
  </si>
  <si>
    <t>一致処理中 </t>
  </si>
  <si>
    <t>Rock</t>
  </si>
  <si>
    <t>Pedra</t>
  </si>
  <si>
    <t>Piedra</t>
  </si>
  <si>
    <t>Stein</t>
  </si>
  <si>
    <t>Pierre</t>
  </si>
  <si>
    <t>グー</t>
  </si>
  <si>
    <t>Paper</t>
  </si>
  <si>
    <t>Papel</t>
  </si>
  <si>
    <t>Papier</t>
  </si>
  <si>
    <t>パー</t>
  </si>
  <si>
    <t>Scissors</t>
  </si>
  <si>
    <t>Tesoura</t>
  </si>
  <si>
    <t>Tijeras</t>
  </si>
  <si>
    <t>Schere</t>
  </si>
  <si>
    <t>Ciseaux</t>
  </si>
  <si>
    <t>チョキ</t>
  </si>
  <si>
    <t>Win</t>
  </si>
  <si>
    <t>Vitória</t>
  </si>
  <si>
    <t>Gana</t>
  </si>
  <si>
    <t>Gewinn</t>
  </si>
  <si>
    <t>Victoire</t>
  </si>
  <si>
    <t>勝ち</t>
  </si>
  <si>
    <t>Loss</t>
  </si>
  <si>
    <t>Perda</t>
  </si>
  <si>
    <t>Pierde</t>
  </si>
  <si>
    <t>Verloren</t>
  </si>
  <si>
    <t>Perte</t>
  </si>
  <si>
    <t>負け</t>
  </si>
  <si>
    <t>Tie</t>
  </si>
  <si>
    <t>Empate</t>
  </si>
  <si>
    <t>Unentschieden</t>
  </si>
  <si>
    <t>Égalité</t>
  </si>
  <si>
    <t>引き分け</t>
  </si>
  <si>
    <t>Radius</t>
  </si>
  <si>
    <t>Raio</t>
  </si>
  <si>
    <t>Radio</t>
  </si>
  <si>
    <t>半径</t>
  </si>
  <si>
    <t>Ulna</t>
  </si>
  <si>
    <t>Cúbito</t>
  </si>
  <si>
    <t>Elle</t>
  </si>
  <si>
    <t>Cubitus</t>
  </si>
  <si>
    <t>尺骨（ひじと手の間の部分）</t>
  </si>
  <si>
    <t>Carpals Proxy 1</t>
  </si>
  <si>
    <t>Carpais Proxy 1</t>
  </si>
  <si>
    <t>Carpiano Proxy 1</t>
  </si>
  <si>
    <t>Karpalen Proxy 1</t>
  </si>
  <si>
    <t>Proxy Carpes 1</t>
  </si>
  <si>
    <t>手根骨プロキシ1</t>
  </si>
  <si>
    <t>Carpals Proxy 2</t>
  </si>
  <si>
    <t>Carpais Proxy 2</t>
  </si>
  <si>
    <t>Carpiano Proxy 2</t>
  </si>
  <si>
    <t>Karpalen Proxy 2</t>
  </si>
  <si>
    <t>Proxy Carpes 2</t>
  </si>
  <si>
    <t>手根骨プロキシ2</t>
  </si>
  <si>
    <t>Carpals Proxy 3</t>
  </si>
  <si>
    <t>Carpais Proxy 3</t>
  </si>
  <si>
    <t>Carpiano Proxy 3</t>
  </si>
  <si>
    <t>Karpalen Proxy 3</t>
  </si>
  <si>
    <t>Proxy Carpes 3</t>
  </si>
  <si>
    <t>手根骨プロキシ3</t>
  </si>
  <si>
    <t>Carpals Proxy 4</t>
  </si>
  <si>
    <t>Carpais Proxy 4</t>
  </si>
  <si>
    <t>Carpiano Proxy 4</t>
  </si>
  <si>
    <t>Karpalen Proxy 4</t>
  </si>
  <si>
    <t>Proxy Carpes 4</t>
  </si>
  <si>
    <t>手根骨プロキシ4</t>
  </si>
  <si>
    <t>Carpals Proxy 5</t>
  </si>
  <si>
    <t>Carpais Proxy 5</t>
  </si>
  <si>
    <t>Carpiano Proxy 5</t>
  </si>
  <si>
    <t>Karpalen Proxy 5</t>
  </si>
  <si>
    <t>Proxy Carpes 5</t>
  </si>
  <si>
    <t>手根骨プロキシ5</t>
  </si>
  <si>
    <t>Distal Phalanges (T)</t>
  </si>
  <si>
    <t>Falanges Distais (P)</t>
  </si>
  <si>
    <t>Falanges distales (P)</t>
  </si>
  <si>
    <t>Distale Phalanx (D)</t>
  </si>
  <si>
    <t>Phalanges distales (P)</t>
  </si>
  <si>
    <t/>
  </si>
  <si>
    <t>Middle Phalanges (T)</t>
  </si>
  <si>
    <t>Falanges Médias (P)</t>
  </si>
  <si>
    <t>Falanges medias (P)</t>
  </si>
  <si>
    <t>Mittlere Phalanx (D)</t>
  </si>
  <si>
    <t>Phalanges moyennes (P)</t>
  </si>
  <si>
    <t>Proximal Phalanges (T)</t>
  </si>
  <si>
    <t>Falanges Proximais (P)</t>
  </si>
  <si>
    <t>Falanges proximales (P)</t>
  </si>
  <si>
    <t>Promimale Phalanx (D)</t>
  </si>
  <si>
    <t>Phalanges proximales (P)</t>
  </si>
  <si>
    <t>Metacarpals (T)</t>
  </si>
  <si>
    <t>Metacarpos (P)</t>
  </si>
  <si>
    <t>Metacarpiano (P)</t>
  </si>
  <si>
    <t>Metacarpalia (D)</t>
  </si>
  <si>
    <t>Métacarpiens (P)</t>
  </si>
  <si>
    <t>Distal Phalanges (I)</t>
  </si>
  <si>
    <t>Falanges Distais (Í)</t>
  </si>
  <si>
    <t>Falanges distales (Í)</t>
  </si>
  <si>
    <t>Distale Phalanx (Z)</t>
  </si>
  <si>
    <t>Phalanges distales (I)</t>
  </si>
  <si>
    <t>Middle Phalanges (I)</t>
  </si>
  <si>
    <t>Falanges Médias (Í)</t>
  </si>
  <si>
    <t>Falanges medias (Í)</t>
  </si>
  <si>
    <t>Mittlere Phalanx (Z)</t>
  </si>
  <si>
    <t>Phalanges moyennes (I)</t>
  </si>
  <si>
    <t>Proximal Phalanges (I)</t>
  </si>
  <si>
    <t>Falanges Proximais (Í)</t>
  </si>
  <si>
    <t>Falanges proximales (Í)</t>
  </si>
  <si>
    <t>Promimale Phalanx (Z)</t>
  </si>
  <si>
    <t>Phalanges proximales (I)</t>
  </si>
  <si>
    <t>Metacarpals (I)</t>
  </si>
  <si>
    <t>Metacarpos (Í)</t>
  </si>
  <si>
    <t>Metacarpiano (Í)</t>
  </si>
  <si>
    <t>Metacarpalia (Z)</t>
  </si>
  <si>
    <t>Métacarpiens (I)</t>
  </si>
  <si>
    <t>Distal Phalanges (M)</t>
  </si>
  <si>
    <t>Falanges Distais (M)</t>
  </si>
  <si>
    <t>Falanges distales (M)</t>
  </si>
  <si>
    <t>Distale Phalanx (M)</t>
  </si>
  <si>
    <t>Phalanges distales (M)</t>
  </si>
  <si>
    <t>Middle Phalanges (M)</t>
  </si>
  <si>
    <t>Falanges Médias (M)</t>
  </si>
  <si>
    <t>Falanges medias (M)</t>
  </si>
  <si>
    <t>Mittlere Phalanx (M)</t>
  </si>
  <si>
    <t>Phalanges moyennes (M)</t>
  </si>
  <si>
    <t>Proximal Phalanges (M)</t>
  </si>
  <si>
    <t>Falanges Proximais (M)</t>
  </si>
  <si>
    <t>Falanges proximales (M)</t>
  </si>
  <si>
    <t>Promimale Phalanx (M)</t>
  </si>
  <si>
    <t>Phalanges proximales (M)</t>
  </si>
  <si>
    <t>Metacarpals (M)</t>
  </si>
  <si>
    <t>Metacarpos (M)</t>
  </si>
  <si>
    <t>Metacarpiano (M)</t>
  </si>
  <si>
    <t>Metacarpalia (M)</t>
  </si>
  <si>
    <t>Métacarpiens (M)</t>
  </si>
  <si>
    <t>Distal Phalanges (R)</t>
  </si>
  <si>
    <t>Falanges Distais (A)</t>
  </si>
  <si>
    <t>Falanges distales (A)</t>
  </si>
  <si>
    <t>Distale Phalanx (R)</t>
  </si>
  <si>
    <t>Phalanges distales (A)</t>
  </si>
  <si>
    <t>Middle Phalanges (R)</t>
  </si>
  <si>
    <t>Falanges Médias (A)</t>
  </si>
  <si>
    <t>Falanges medias (A)</t>
  </si>
  <si>
    <t>Mittlere Phalanx (R)</t>
  </si>
  <si>
    <t>Phalanges moyennes (A)</t>
  </si>
  <si>
    <t>Proximal Phalanges (R)</t>
  </si>
  <si>
    <t>Falanges Proximais (A)</t>
  </si>
  <si>
    <t>Falanges proximales (A)</t>
  </si>
  <si>
    <t>Promimale Phalanx (R)</t>
  </si>
  <si>
    <t>Phalanges proximales (A)</t>
  </si>
  <si>
    <t>Metacarpals (R)</t>
  </si>
  <si>
    <t>Metacarpos (A)</t>
  </si>
  <si>
    <t>Metacarpiano (A)</t>
  </si>
  <si>
    <t>Metacarpalia (R)</t>
  </si>
  <si>
    <t>Métacarpiens (A)</t>
  </si>
  <si>
    <t>Distal Phalanges (P)</t>
  </si>
  <si>
    <t>Falanges Distais (R)</t>
  </si>
  <si>
    <t>Distale Phalanx (K)</t>
  </si>
  <si>
    <t>Middle Phalanges (P)</t>
  </si>
  <si>
    <t>Falanges Médias (R)</t>
  </si>
  <si>
    <t>Mittlere Phalanx (K)</t>
  </si>
  <si>
    <t>Proximal Phalanges (P)</t>
  </si>
  <si>
    <t>Falanges Proximais (R)</t>
  </si>
  <si>
    <t>Promimale Phalanx (K)</t>
  </si>
  <si>
    <t>Metacarpals (P)</t>
  </si>
  <si>
    <t>Metacarpos (R)</t>
  </si>
  <si>
    <t>Metacarpalia (K)</t>
  </si>
  <si>
    <t>My 
stats:</t>
  </si>
  <si>
    <t>Meu 
Estatísticas:</t>
  </si>
  <si>
    <t>Mi 
Estadísticas:</t>
  </si>
  <si>
    <t>Meine 
Statistiken:</t>
  </si>
  <si>
    <t>Mes statistiques:</t>
  </si>
  <si>
    <t>私の統計:</t>
  </si>
  <si>
    <t>Excel 
stats:</t>
  </si>
  <si>
    <t>Excel  
Estatísticas:</t>
  </si>
  <si>
    <t>Excel  
Estadísticas:</t>
  </si>
  <si>
    <t>Excel  
Statistiken:</t>
  </si>
  <si>
    <t>Statistiques Excel:</t>
  </si>
  <si>
    <t>エクセル統計:</t>
  </si>
  <si>
    <t>Workbook Mode</t>
  </si>
  <si>
    <t>Modo da Pasta de Trabalho</t>
  </si>
  <si>
    <t>Modo Libro de trabajo</t>
  </si>
  <si>
    <t>Arbeitsmappen-Modus</t>
  </si>
  <si>
    <t>Mode classeur</t>
  </si>
  <si>
    <t>ワークブック モード</t>
  </si>
  <si>
    <t>Match Start Trigger</t>
  </si>
  <si>
    <t>Disparador de Início de Partida</t>
  </si>
  <si>
    <t>Disparador de inicio de juego</t>
  </si>
  <si>
    <t>Spiel Start Auslöser</t>
  </si>
  <si>
    <t>Signal du début de la partie</t>
  </si>
  <si>
    <t>試合が始まるきっかけとなるもの</t>
  </si>
  <si>
    <t>Match Complete</t>
  </si>
  <si>
    <t>Correspondência Concluída</t>
  </si>
  <si>
    <t>Juego Completo</t>
  </si>
  <si>
    <t>Spiel beendet</t>
  </si>
  <si>
    <t>Partie terminée</t>
  </si>
  <si>
    <t>試合終了</t>
  </si>
  <si>
    <t>Countdown Timer</t>
  </si>
  <si>
    <t>Cronômetro</t>
  </si>
  <si>
    <t xml:space="preserve">Cronómetro </t>
  </si>
  <si>
    <t>Countdown-Zeitmesser</t>
  </si>
  <si>
    <t>Compte à rebours</t>
  </si>
  <si>
    <t>カウントダウン タイマー</t>
  </si>
  <si>
    <t>Round Number</t>
  </si>
  <si>
    <t>Número da Rodada</t>
  </si>
  <si>
    <t>Número de ronda</t>
  </si>
  <si>
    <t>Runde Nummer</t>
  </si>
  <si>
    <t>Nombre de manches</t>
  </si>
  <si>
    <t>ラウンド数</t>
  </si>
  <si>
    <t>Player 1 Gesture</t>
  </si>
  <si>
    <t>Gesto do Jogador 1</t>
  </si>
  <si>
    <t>Gesto del Jugador 1</t>
  </si>
  <si>
    <t>Spieler 1 Geste</t>
  </si>
  <si>
    <t>Geste du joueur 1</t>
  </si>
  <si>
    <t>プレイヤー1 ジェスチャー</t>
  </si>
  <si>
    <t>Player 2 Gesture</t>
  </si>
  <si>
    <t>Gesto do Jogador 2</t>
  </si>
  <si>
    <t>Gesto del Jugador 2</t>
  </si>
  <si>
    <t>Spieler 2 Geste</t>
  </si>
  <si>
    <t>Geste du joueur 2</t>
  </si>
  <si>
    <t>プレイヤー2 ジェスチャー</t>
  </si>
  <si>
    <t>Player 1 - Round 1</t>
  </si>
  <si>
    <t>Jogador 1 - Rodada 1</t>
  </si>
  <si>
    <t>Jugador 1 - Ronda 1</t>
  </si>
  <si>
    <t>Spieler 1 - Runde 1</t>
  </si>
  <si>
    <t>Joueur 1 – Manche 1</t>
  </si>
  <si>
    <t>プレーヤー1 - 第1ラウンド</t>
  </si>
  <si>
    <t>Player 1 - Round 2</t>
  </si>
  <si>
    <t>Jogador 1 - Rodada 2</t>
  </si>
  <si>
    <t>Jugador 1 - Ronda 2</t>
  </si>
  <si>
    <t>Spieler 1 - Runde 2</t>
  </si>
  <si>
    <t>Joueur 2 – Manche 2</t>
  </si>
  <si>
    <t>プレーヤー1 - 第2ラウンド</t>
  </si>
  <si>
    <t>Player 1 - Round 3</t>
  </si>
  <si>
    <t>Jogador 1 - Rodada 3</t>
  </si>
  <si>
    <t>Jugador 1 - Ronda 3</t>
  </si>
  <si>
    <t>Spieler 1 - Runde 3</t>
  </si>
  <si>
    <t>Joueur 1 – Manche 3</t>
  </si>
  <si>
    <t>プレーヤー1 - 第3ラウンド</t>
  </si>
  <si>
    <t>Player 1 - Round 4</t>
  </si>
  <si>
    <t>Jogador 1 - Rodada 4</t>
  </si>
  <si>
    <t>Jugador 1 - Ronda 4</t>
  </si>
  <si>
    <t>Spieler 1 - Runde 4</t>
  </si>
  <si>
    <t>Joueur 1 – Manche 4</t>
  </si>
  <si>
    <t>プレーヤー1 - 第4ラウンド</t>
  </si>
  <si>
    <t>Player 1 - Round 5</t>
  </si>
  <si>
    <t>Jogador 1 - Rodada 5</t>
  </si>
  <si>
    <t>Jugador 1 - Ronda 5</t>
  </si>
  <si>
    <t>Spieler 1 - Runde 5</t>
  </si>
  <si>
    <t>Joueur 1 – Manche 5</t>
  </si>
  <si>
    <t>プレーヤー1 - 第5ラウンド</t>
  </si>
  <si>
    <t>Player 2 - Round 1</t>
  </si>
  <si>
    <t>Jogador 2 - Rodada 1</t>
  </si>
  <si>
    <t>Jugador 2 - Ronda 1</t>
  </si>
  <si>
    <t>Spieler 2 - Runde 1</t>
  </si>
  <si>
    <t>Joueur 2 – Manche 1</t>
  </si>
  <si>
    <t>プレーヤー2 - 第1ラウンド</t>
  </si>
  <si>
    <t>Player 2 - Round 2</t>
  </si>
  <si>
    <t>Jogador 2 - Rodada 2</t>
  </si>
  <si>
    <t>Jugador 2 - Ronda 2</t>
  </si>
  <si>
    <t>Spieler 2 - Runde 2</t>
  </si>
  <si>
    <t>プレーヤー2 - 第2ラウンド</t>
  </si>
  <si>
    <t>Player 2 - Round 3</t>
  </si>
  <si>
    <t>Jogador 2 - Rodada 3</t>
  </si>
  <si>
    <t>Jugador 2 - Ronda 3</t>
  </si>
  <si>
    <t>Spieler 2 - Runde 3</t>
  </si>
  <si>
    <t>Joueur 2 – Manche 3</t>
  </si>
  <si>
    <t>プレーヤー2 - 第3ラウンド</t>
  </si>
  <si>
    <t>Player 2 - Round 4</t>
  </si>
  <si>
    <t>Jogador 2 - Rodada 4</t>
  </si>
  <si>
    <t>Jugador 2 - Ronda 4</t>
  </si>
  <si>
    <t>Spieler 2 - Runde 4</t>
  </si>
  <si>
    <t>Joueur 2 – Manche 4</t>
  </si>
  <si>
    <t>プレーヤー2 - 第4ラウンド</t>
  </si>
  <si>
    <t>Player 2 - Round 5</t>
  </si>
  <si>
    <t>Jogador 2 - Rodada 5</t>
  </si>
  <si>
    <t>Jugador 2 - Ronda 5</t>
  </si>
  <si>
    <t>Spieler 2 - Runde 5</t>
  </si>
  <si>
    <t>Joueur 2 – Manche 5</t>
  </si>
  <si>
    <t>プレーヤー2 - 第5ラウンド</t>
  </si>
  <si>
    <t>Rounds Per Match</t>
  </si>
  <si>
    <t>Rodadas Por Partida</t>
  </si>
  <si>
    <t>Rondas por juego</t>
  </si>
  <si>
    <t>Runden pro Spiel</t>
  </si>
  <si>
    <t>Manches par partie</t>
  </si>
  <si>
    <t>1試合あたりのラウンド数</t>
  </si>
  <si>
    <t>Round Intermission (seconds)</t>
  </si>
  <si>
    <t>Intermissão da Rodada (segundos)</t>
  </si>
  <si>
    <t>Intermedio de ronda (segundos)</t>
  </si>
  <si>
    <t>Runden Unterbrechung (Sekunden)</t>
  </si>
  <si>
    <t>Pause entre les manches (secondes)</t>
  </si>
  <si>
    <t>ラウンド間の休憩時間（秒）</t>
  </si>
  <si>
    <t>Match Trigger</t>
  </si>
  <si>
    <t>Gatilho de Correspondência</t>
  </si>
  <si>
    <t>Disparador de juego</t>
  </si>
  <si>
    <t>Spiel Auslöser</t>
  </si>
  <si>
    <t>Signal de la partie</t>
  </si>
  <si>
    <t>試合のきっかけとなるもの</t>
  </si>
  <si>
    <t>Round Winner</t>
  </si>
  <si>
    <t>Vencedor da Rodada</t>
  </si>
  <si>
    <t>Ganador de la ronda</t>
  </si>
  <si>
    <t>Runden Gewinner</t>
  </si>
  <si>
    <t>Gagnant de la manche</t>
  </si>
  <si>
    <t>ラウンドでの勝者</t>
  </si>
  <si>
    <t>Excel RPS Gesture</t>
  </si>
  <si>
    <t>Gesto de RPS do Excel</t>
  </si>
  <si>
    <t>Gesto PPaT de Excel</t>
  </si>
  <si>
    <t>Excel RPS Geste</t>
  </si>
  <si>
    <t>Geste Excel RPS</t>
  </si>
  <si>
    <t>Excel RPSジェスチャー</t>
  </si>
  <si>
    <t>Save Match </t>
  </si>
  <si>
    <t>Salvar Partida </t>
  </si>
  <si>
    <t>Guardar partido </t>
  </si>
  <si>
    <t>Speichern spiel </t>
  </si>
  <si>
    <t>Sauvegarder le jeu </t>
  </si>
  <si>
    <t>一致を保存 </t>
  </si>
  <si>
    <t>Date</t>
  </si>
  <si>
    <t>Data</t>
  </si>
  <si>
    <t>Fecha</t>
  </si>
  <si>
    <t>Datum</t>
  </si>
  <si>
    <t>日付</t>
  </si>
  <si>
    <t>Match Winner</t>
  </si>
  <si>
    <t>Vencedor do Jogo</t>
  </si>
  <si>
    <t>Ganador del juego</t>
  </si>
  <si>
    <t>Spiel Gewinner</t>
  </si>
  <si>
    <t>Gagnant de la partie</t>
  </si>
  <si>
    <t>試合の勝者</t>
  </si>
  <si>
    <t>Player - Rock</t>
  </si>
  <si>
    <t>Jogador - Pedra</t>
  </si>
  <si>
    <t>Jugador - Piedra</t>
  </si>
  <si>
    <t>Spieler - Stein</t>
  </si>
  <si>
    <t>Joueur - Pierre</t>
  </si>
  <si>
    <t>プレーヤー - ロック</t>
  </si>
  <si>
    <t>Player - Paper</t>
  </si>
  <si>
    <t>Jogador - Papel</t>
  </si>
  <si>
    <t>Jugador - Papel</t>
  </si>
  <si>
    <t>Spieler - Papier</t>
  </si>
  <si>
    <t>Joueur - Papier</t>
  </si>
  <si>
    <t>プレーヤー - 用紙</t>
  </si>
  <si>
    <t>Player - Scissors</t>
  </si>
  <si>
    <t>Jogador - Tesoura</t>
  </si>
  <si>
    <t>Jugador - Tijeras</t>
  </si>
  <si>
    <t>Spieler - Schere</t>
  </si>
  <si>
    <t>Joueur - Ciseaux</t>
  </si>
  <si>
    <t>プレーヤー - はさみ</t>
  </si>
  <si>
    <t>Excel - Rock</t>
  </si>
  <si>
    <t>Excel - Pedra</t>
  </si>
  <si>
    <t>Excel - Piedra</t>
  </si>
  <si>
    <t>Excel - Stein</t>
  </si>
  <si>
    <t>Excel - Pierre</t>
  </si>
  <si>
    <t>エクセル - ロック</t>
  </si>
  <si>
    <t>Excel - Paper</t>
  </si>
  <si>
    <t>Excel - Papel</t>
  </si>
  <si>
    <t>Excel - Papier</t>
  </si>
  <si>
    <t>エクセル - 紙</t>
  </si>
  <si>
    <t>Excel - Scissors</t>
  </si>
  <si>
    <t>Excel - Tesoura</t>
  </si>
  <si>
    <t>Excel - Tijeras</t>
  </si>
  <si>
    <t>Excel - Schere</t>
  </si>
  <si>
    <t>Excel - Ciseaux</t>
  </si>
  <si>
    <t>エクセル - はさみ</t>
  </si>
  <si>
    <t>Clear data </t>
  </si>
  <si>
    <t>Limpar dados </t>
  </si>
  <si>
    <t>Borrar datos </t>
  </si>
  <si>
    <t>Daten löschen </t>
  </si>
  <si>
    <t>Effacer les données </t>
  </si>
  <si>
    <t>データをクリアする </t>
  </si>
  <si>
    <t>Workbook Setup</t>
  </si>
  <si>
    <t>Carteira da Pasta de Trabalho</t>
  </si>
  <si>
    <t>Inicio del libro de trabajo</t>
  </si>
  <si>
    <t>Arbeitsmappe starten</t>
  </si>
  <si>
    <t>Début de de Classeur</t>
  </si>
  <si>
    <t>➊</t>
  </si>
  <si>
    <t>➋</t>
  </si>
  <si>
    <t>➌</t>
  </si>
  <si>
    <t>➍</t>
  </si>
  <si>
    <t>➎</t>
  </si>
  <si>
    <t>Wrist Carpals</t>
  </si>
  <si>
    <t>Proximal Phalange</t>
  </si>
  <si>
    <t>Intermediate Phalange</t>
  </si>
  <si>
    <t>Distal Phalange</t>
  </si>
  <si>
    <t>Object</t>
  </si>
  <si>
    <t>ProperName</t>
  </si>
  <si>
    <t>X1</t>
  </si>
  <si>
    <t>X2</t>
  </si>
  <si>
    <t>Y1</t>
  </si>
  <si>
    <t>Y2</t>
  </si>
  <si>
    <t>Finger</t>
  </si>
  <si>
    <t>Flexion</t>
  </si>
  <si>
    <t>FlexPerc</t>
  </si>
  <si>
    <t>ProxLenFull</t>
  </si>
  <si>
    <t>IntLenFull</t>
  </si>
  <si>
    <t>DistLenFull</t>
  </si>
  <si>
    <t>FullExtension</t>
  </si>
  <si>
    <t>ProxLenAdj</t>
  </si>
  <si>
    <t>IntLenAdj</t>
  </si>
  <si>
    <t>DistLenAdj</t>
  </si>
  <si>
    <t>PhalFullExX</t>
  </si>
  <si>
    <t>PhalFullExY</t>
  </si>
  <si>
    <t>WCX1</t>
  </si>
  <si>
    <t>WCX2</t>
  </si>
  <si>
    <t>WCY1</t>
  </si>
  <si>
    <t>WCY2</t>
  </si>
  <si>
    <t>MCX1</t>
  </si>
  <si>
    <t>MCX2</t>
  </si>
  <si>
    <t>MCY1</t>
  </si>
  <si>
    <t>MCY2</t>
  </si>
  <si>
    <t>PPX1</t>
  </si>
  <si>
    <t>PPX2</t>
  </si>
  <si>
    <t>PPY1</t>
  </si>
  <si>
    <t>PPY2</t>
  </si>
  <si>
    <t>IPX1</t>
  </si>
  <si>
    <t>IPX2</t>
  </si>
  <si>
    <t>IPY1</t>
  </si>
  <si>
    <t>IPY2</t>
  </si>
  <si>
    <t>DPX1</t>
  </si>
  <si>
    <t>DPX2</t>
  </si>
  <si>
    <t>DPY1</t>
  </si>
  <si>
    <t>DPY2</t>
  </si>
  <si>
    <t>Num</t>
  </si>
  <si>
    <t>Name</t>
  </si>
  <si>
    <t>Val</t>
  </si>
  <si>
    <t>NotVal</t>
  </si>
  <si>
    <t>RangedVal</t>
  </si>
  <si>
    <t>GestureVal</t>
  </si>
  <si>
    <t>Arm1</t>
  </si>
  <si>
    <t>Arm2</t>
  </si>
  <si>
    <t>WC1</t>
  </si>
  <si>
    <t>WC2</t>
  </si>
  <si>
    <t>WC3</t>
  </si>
  <si>
    <t>WC4</t>
  </si>
  <si>
    <t>WC5</t>
  </si>
  <si>
    <t>HandSel</t>
  </si>
  <si>
    <t>MC1</t>
  </si>
  <si>
    <t>HandSelVal</t>
  </si>
  <si>
    <t>PP1</t>
  </si>
  <si>
    <t>FingerMode</t>
  </si>
  <si>
    <t>IP1</t>
  </si>
  <si>
    <t>DP1</t>
  </si>
  <si>
    <t>MC2</t>
  </si>
  <si>
    <t>PP2</t>
  </si>
  <si>
    <t>IP2</t>
  </si>
  <si>
    <t>DP2</t>
  </si>
  <si>
    <t>MC3</t>
  </si>
  <si>
    <t>PP3</t>
  </si>
  <si>
    <t>IP3</t>
  </si>
  <si>
    <t>DP3</t>
  </si>
  <si>
    <t>MC4</t>
  </si>
  <si>
    <t>PP4</t>
  </si>
  <si>
    <t>IP4</t>
  </si>
  <si>
    <t>DP4</t>
  </si>
  <si>
    <t>MC5</t>
  </si>
  <si>
    <t>PP5</t>
  </si>
  <si>
    <t>IP5</t>
  </si>
  <si>
    <t>DP5</t>
  </si>
  <si>
    <t>FingerFlex_Index</t>
  </si>
  <si>
    <t>Combo</t>
  </si>
  <si>
    <t>G1_X1</t>
  </si>
  <si>
    <t>G1_X2</t>
  </si>
  <si>
    <t>G1_Y1</t>
  </si>
  <si>
    <t>G1_Y2</t>
  </si>
  <si>
    <t>G2_X1</t>
  </si>
  <si>
    <t>G2_X2</t>
  </si>
  <si>
    <t>G2_Y1</t>
  </si>
  <si>
    <t>G2_Y2</t>
  </si>
  <si>
    <t>G3_X1</t>
  </si>
  <si>
    <t>G3_X2</t>
  </si>
  <si>
    <t>G3_Y1</t>
  </si>
  <si>
    <t>G3_Y2</t>
  </si>
  <si>
    <t>P1_X1</t>
  </si>
  <si>
    <t>P1_X2</t>
  </si>
  <si>
    <t>P1_Y1</t>
  </si>
  <si>
    <t>P1_Y2</t>
  </si>
  <si>
    <t>P2_X1</t>
  </si>
  <si>
    <t>P2_X2</t>
  </si>
  <si>
    <t>P2_Y1</t>
  </si>
  <si>
    <t>P2_Y2</t>
  </si>
  <si>
    <t>Round</t>
  </si>
  <si>
    <t>Ycoord</t>
  </si>
  <si>
    <t>RoundPlayed</t>
  </si>
  <si>
    <t>Player</t>
  </si>
  <si>
    <t>Winner</t>
  </si>
  <si>
    <t>P1_1</t>
  </si>
  <si>
    <t>P1_2</t>
  </si>
  <si>
    <t>P1_3</t>
  </si>
  <si>
    <t>P2_1</t>
  </si>
  <si>
    <t>P2_2</t>
  </si>
  <si>
    <t>P2_3</t>
  </si>
  <si>
    <t>Result_P1</t>
  </si>
  <si>
    <t>Result_P2</t>
  </si>
  <si>
    <t>Val_P1_1</t>
  </si>
  <si>
    <t>Val_P1_2</t>
  </si>
  <si>
    <t>Val_P1_3</t>
  </si>
  <si>
    <t>Val_P2_1</t>
  </si>
  <si>
    <t>Val_P2_2</t>
  </si>
  <si>
    <t>Val_P2_3</t>
  </si>
  <si>
    <t>ResultNum</t>
  </si>
  <si>
    <t>ResultText1</t>
  </si>
  <si>
    <t>ResultText2</t>
  </si>
  <si>
    <t>RoundResult</t>
  </si>
  <si>
    <t>FingerFlex_Middle</t>
  </si>
  <si>
    <t>eee</t>
  </si>
  <si>
    <t xml:space="preserve"> </t>
  </si>
  <si>
    <t>FingerFlex_Ring</t>
  </si>
  <si>
    <t>eef</t>
  </si>
  <si>
    <t>Gesture_concat</t>
  </si>
  <si>
    <t>efe</t>
  </si>
  <si>
    <t>Gesture_P1</t>
  </si>
  <si>
    <t>eff</t>
  </si>
  <si>
    <t>Gesture_P2</t>
  </si>
  <si>
    <t>fee</t>
  </si>
  <si>
    <t>GameInProgress</t>
  </si>
  <si>
    <t>fef</t>
  </si>
  <si>
    <t>WinnerVal</t>
  </si>
  <si>
    <t>ffe</t>
  </si>
  <si>
    <t>WinnerText</t>
  </si>
  <si>
    <t>fff</t>
  </si>
  <si>
    <t>Perc_P1_1</t>
  </si>
  <si>
    <t>Perc_P1_2</t>
  </si>
  <si>
    <t>Perc_P1_3</t>
  </si>
  <si>
    <t>Perc_P2_1</t>
  </si>
  <si>
    <t>Perc_P2_2</t>
  </si>
  <si>
    <t>Perc_P2_3</t>
  </si>
  <si>
    <t>Match Saved</t>
  </si>
  <si>
    <t>update</t>
  </si>
  <si>
    <t>CH1</t>
  </si>
  <si>
    <t>CH2</t>
  </si>
  <si>
    <t>CH8</t>
  </si>
  <si>
    <t>CH10</t>
  </si>
  <si>
    <t>CH11</t>
  </si>
  <si>
    <t>CH12</t>
  </si>
  <si>
    <t>CH13</t>
  </si>
  <si>
    <t>CH14</t>
  </si>
  <si>
    <t>CH15</t>
  </si>
  <si>
    <t>CH16</t>
  </si>
  <si>
    <t>CH17</t>
  </si>
  <si>
    <t>CH18</t>
  </si>
  <si>
    <t>CH19</t>
  </si>
  <si>
    <t>CH20</t>
  </si>
  <si>
    <t>CH21</t>
  </si>
  <si>
    <t>CH22</t>
  </si>
  <si>
    <t>150</t>
  </si>
  <si>
    <t>15</t>
  </si>
  <si>
    <t>10</t>
  </si>
  <si>
    <t>Newest last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</si>
</sst>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 &quot;(Default)&quot;"/>
    <numFmt numFmtId="165" formatCode="h:mm:ss.000"/>
    <numFmt numFmtId="166" formatCode="mm\.ss.000"/>
    <numFmt numFmtId="167" formatCode="h:mm:ss.00"/>
  </numFmts>
  <fonts count="46">
    <font>
      <sz val="11"/>
      <color theme="1"/>
      <name val="Segoe UI"/>
      <family val="2"/>
      <scheme val="minor"/>
    </font>
    <font>
      <sz val="11"/>
      <color theme="1"/>
      <name val="Segoe UI Light"/>
      <family val="2"/>
    </font>
    <font>
      <sz val="11"/>
      <color rgb="FFFFFFFF"/>
      <name val="Segoe UI Light"/>
      <family val="2"/>
    </font>
    <font>
      <sz val="20"/>
      <color rgb="FF696969"/>
      <name val="Segoe UI Light"/>
      <family val="2"/>
    </font>
    <font>
      <sz val="11"/>
      <color rgb="FFFBFBFB"/>
      <name val="Segoe UI Light"/>
      <family val="2"/>
    </font>
    <font>
      <sz val="11"/>
      <color rgb="FF000000"/>
      <name val="Segoe UI Light"/>
      <family val="2"/>
    </font>
    <font>
      <i/>
      <sz val="11"/>
      <color rgb="FF808080"/>
      <name val="Segoe UI Light"/>
      <family val="2"/>
    </font>
    <font>
      <sz val="11"/>
      <color rgb="FFFF0000"/>
      <name val="Segoe UI Light"/>
      <family val="2"/>
    </font>
    <font>
      <sz val="14"/>
      <color theme="1"/>
      <name val="Segoe UI Light"/>
      <family val="2"/>
    </font>
    <font>
      <sz val="14"/>
      <color rgb="FF555555"/>
      <name val="Segoe UI Light"/>
      <family val="2"/>
    </font>
    <font>
      <sz val="11"/>
      <color rgb="FFBFBFBF"/>
      <name val="Segoe UI Light"/>
      <family val="2"/>
    </font>
    <font>
      <sz val="11"/>
      <color rgb="FF3A3838"/>
      <name val="Segoe UI Light"/>
      <family val="2"/>
    </font>
    <font>
      <sz val="11"/>
      <color rgb="FF3A3838"/>
      <name val="Segoe UI Semibold"/>
      <family val="2"/>
    </font>
    <font>
      <sz val="11"/>
      <color theme="1"/>
      <name val="Segoe UI"/>
      <family val="2"/>
      <scheme val="minor"/>
    </font>
    <font>
      <sz val="14"/>
      <color theme="1"/>
      <name val="Segoe UI"/>
      <family val="2"/>
      <scheme val="minor"/>
    </font>
    <font>
      <sz val="14"/>
      <color rgb="FF494949"/>
      <name val="Segoe UI"/>
      <family val="2"/>
      <scheme val="minor"/>
    </font>
    <font>
      <sz val="14"/>
      <color rgb="FF494949"/>
      <name val="Segoe UI Symbol"/>
      <family val="2"/>
    </font>
    <font>
      <sz val="8"/>
      <name val="Segoe UI"/>
      <family val="2"/>
      <scheme val="minor"/>
    </font>
    <font>
      <sz val="36"/>
      <color theme="7"/>
      <name val="Segoe UI"/>
      <family val="2"/>
      <scheme val="minor"/>
    </font>
    <font>
      <sz val="8"/>
      <color theme="2"/>
      <name val="Segoe UI"/>
      <family val="2"/>
      <scheme val="minor"/>
    </font>
    <font>
      <sz val="11"/>
      <color theme="2"/>
      <name val="Segoe UI"/>
      <family val="2"/>
      <scheme val="minor"/>
    </font>
    <font>
      <sz val="11"/>
      <color rgb="FFBFBFBF"/>
      <name val="Segoe UI"/>
      <family val="2"/>
      <scheme val="minor"/>
    </font>
    <font>
      <sz val="18"/>
      <color theme="1"/>
      <name val="Segoe UI"/>
      <family val="2"/>
      <scheme val="minor"/>
    </font>
    <font>
      <sz val="18"/>
      <color rgb="FF494949"/>
      <name val="Segoe UI"/>
      <family val="2"/>
      <scheme val="minor"/>
    </font>
    <font>
      <sz val="18"/>
      <color rgb="FF494949"/>
      <name val="Segoe UI Symbol"/>
      <family val="2"/>
    </font>
    <font>
      <sz val="9"/>
      <color rgb="FF494949"/>
      <name val="Segoe UI Semibold"/>
      <family val="2"/>
      <scheme val="major"/>
    </font>
    <font>
      <sz val="9"/>
      <color theme="1"/>
      <name val="Segoe UI"/>
      <family val="2"/>
      <scheme val="minor"/>
    </font>
    <font>
      <b/>
      <sz val="10"/>
      <color theme="7"/>
      <name val="Segoe UI"/>
      <family val="2"/>
      <scheme val="minor"/>
    </font>
    <font>
      <b/>
      <sz val="16"/>
      <color theme="7"/>
      <name val="Segoe UI"/>
      <family val="2"/>
      <scheme val="minor"/>
    </font>
    <font>
      <b/>
      <sz val="16"/>
      <color theme="9"/>
      <name val="Segoe UI"/>
      <family val="2"/>
      <scheme val="minor"/>
    </font>
    <font>
      <b/>
      <sz val="20"/>
      <color theme="9"/>
      <name val="Segoe UI"/>
      <family val="2"/>
      <scheme val="minor"/>
    </font>
    <font>
      <b/>
      <sz val="10"/>
      <color theme="9"/>
      <name val="Segoe UI"/>
      <family val="2"/>
      <scheme val="minor"/>
    </font>
    <font>
      <b/>
      <sz val="11"/>
      <color theme="9"/>
      <name val="Segoe UI"/>
      <family val="2"/>
      <scheme val="minor"/>
    </font>
    <font>
      <b/>
      <sz val="11"/>
      <color theme="7"/>
      <name val="Segoe UI"/>
      <family val="2"/>
      <scheme val="minor"/>
    </font>
    <font>
      <sz val="11"/>
      <color rgb="FF505050"/>
      <name val="Segoe UI Light"/>
      <family val="2"/>
    </font>
    <font>
      <sz val="11"/>
      <color rgb="FF505050"/>
      <name val="Segoe UI"/>
      <family val="2"/>
      <scheme val="minor"/>
    </font>
    <font>
      <sz val="11"/>
      <color theme="1"/>
      <name val="Segoe UI Symbol"/>
      <family val="2"/>
    </font>
    <font>
      <b/>
      <sz val="24"/>
      <color theme="1"/>
      <name val="Segoe UI"/>
      <family val="2"/>
      <scheme val="minor"/>
    </font>
    <font>
      <b/>
      <sz val="11"/>
      <color theme="0"/>
      <name val="Segoe UI"/>
      <family val="2"/>
      <scheme val="minor"/>
    </font>
    <font>
      <sz val="10"/>
      <color theme="1"/>
      <name val="Segoe UI"/>
      <family val="2"/>
      <scheme val="minor"/>
    </font>
    <font>
      <sz val="14"/>
      <color theme="0"/>
      <name val="Segoe UI Symbol"/>
      <family val="2"/>
    </font>
    <font>
      <b/>
      <sz val="14"/>
      <color theme="1"/>
      <name val="Segoe UI"/>
      <family val="2"/>
      <scheme val="minor"/>
    </font>
    <font>
      <sz val="12"/>
      <color theme="1"/>
      <name val="Segoe UI"/>
      <family val="2"/>
      <scheme val="minor"/>
    </font>
    <font>
      <sz val="12"/>
      <color theme="1"/>
      <name val="Segoe UI Symbol"/>
      <family val="2"/>
    </font>
    <font>
      <b/>
      <sz val="12"/>
      <color rgb="FF494949"/>
      <name val="Segoe UI Symbol"/>
      <family val="2"/>
    </font>
    <font>
      <sz val="11"/>
      <color theme="1" tint="0.499984740745262"/>
      <name val="Segoe UI"/>
      <family val="2"/>
      <scheme val="minor"/>
    </font>
  </fonts>
  <fills count="19">
    <fill>
      <patternFill patternType="none"/>
    </fill>
    <fill>
      <patternFill patternType="gray125"/>
    </fill>
    <fill>
      <patternFill patternType="solid">
        <fgColor rgb="FFFBFBFB"/>
        <bgColor indexed="64"/>
      </patternFill>
    </fill>
    <fill>
      <patternFill patternType="solid">
        <fgColor rgb="FFFFFFFF"/>
        <bgColor indexed="64"/>
      </patternFill>
    </fill>
    <fill>
      <patternFill patternType="solid">
        <fgColor rgb="FFFFC000"/>
        <bgColor indexed="64"/>
      </patternFill>
    </fill>
    <fill>
      <patternFill patternType="solid">
        <fgColor rgb="FFFFF2CC"/>
        <bgColor indexed="64"/>
      </patternFill>
    </fill>
    <fill>
      <patternFill patternType="solid">
        <fgColor rgb="FFBFBFBF"/>
        <bgColor indexed="64"/>
      </patternFill>
    </fill>
    <fill>
      <patternFill patternType="solid">
        <fgColor rgb="FF2ECBFF"/>
        <bgColor indexed="64"/>
      </patternFill>
    </fill>
    <fill>
      <patternFill patternType="solid">
        <fgColor rgb="FFD7F3FE"/>
        <bgColor indexed="64"/>
      </patternFill>
    </fill>
    <fill>
      <patternFill patternType="solid">
        <fgColor theme="0"/>
        <bgColor indexed="64"/>
      </patternFill>
    </fill>
    <fill>
      <patternFill patternType="solid">
        <fgColor theme="2"/>
        <bgColor indexed="64"/>
      </patternFill>
    </fill>
    <fill>
      <patternFill patternType="solid">
        <fgColor theme="4"/>
        <bgColor indexed="64"/>
      </patternFill>
    </fill>
    <fill>
      <patternFill patternType="solid">
        <fgColor theme="6"/>
        <bgColor indexed="64"/>
      </patternFill>
    </fill>
    <fill>
      <patternFill patternType="solid">
        <fgColor theme="7"/>
        <bgColor indexed="64"/>
      </patternFill>
    </fill>
    <fill>
      <patternFill patternType="solid">
        <fgColor theme="5"/>
        <bgColor indexed="64"/>
      </patternFill>
    </fill>
    <fill>
      <patternFill patternType="solid">
        <fgColor theme="1"/>
        <bgColor theme="1"/>
      </patternFill>
    </fill>
    <fill>
      <patternFill patternType="solid">
        <fgColor theme="6"/>
        <bgColor theme="6"/>
      </patternFill>
    </fill>
    <fill>
      <patternFill patternType="solid">
        <fgColor theme="3"/>
        <bgColor indexed="64"/>
      </patternFill>
    </fill>
    <fill>
      <patternFill patternType="solid">
        <fgColor theme="4" tint="0.79998168889431442"/>
        <bgColor indexed="64"/>
      </patternFill>
    </fill>
  </fills>
  <borders count="30">
    <border>
      <left/>
      <right/>
      <top/>
      <bottom/>
      <diagonal/>
    </border>
    <border>
      <left style="thin">
        <color rgb="FFCECECE"/>
      </left>
      <right/>
      <top style="thin">
        <color rgb="FFCECECE"/>
      </top>
      <bottom style="thin">
        <color rgb="FFCECECE"/>
      </bottom>
      <diagonal/>
    </border>
    <border>
      <left style="thin">
        <color rgb="FFFFFFFF"/>
      </left>
      <right style="thin">
        <color rgb="FFCECECE"/>
      </right>
      <top style="thin">
        <color rgb="FFCECECE"/>
      </top>
      <bottom style="thin">
        <color rgb="FFCECECE"/>
      </bottom>
      <diagonal/>
    </border>
    <border>
      <left/>
      <right style="thick">
        <color rgb="FFEBB000"/>
      </right>
      <top/>
      <bottom/>
      <diagonal/>
    </border>
    <border>
      <left style="thick">
        <color rgb="FFEBB000"/>
      </left>
      <right style="thick">
        <color rgb="FFEBB000"/>
      </right>
      <top/>
      <bottom/>
      <diagonal/>
    </border>
    <border>
      <left style="thick">
        <color rgb="FFEBB000"/>
      </left>
      <right style="thick">
        <color rgb="FFFFC000"/>
      </right>
      <top/>
      <bottom/>
      <diagonal/>
    </border>
    <border>
      <left style="thick">
        <color rgb="FFFFC000"/>
      </left>
      <right style="thick">
        <color rgb="FFFFC000"/>
      </right>
      <top/>
      <bottom style="thick">
        <color rgb="FFFFC000"/>
      </bottom>
      <diagonal/>
    </border>
    <border>
      <left/>
      <right/>
      <top style="thick">
        <color rgb="FFFFC000"/>
      </top>
      <bottom/>
      <diagonal/>
    </border>
    <border>
      <left/>
      <right style="thick">
        <color rgb="FF0FC3FF"/>
      </right>
      <top/>
      <bottom/>
      <diagonal/>
    </border>
    <border>
      <left style="thick">
        <color rgb="FF0FC3FF"/>
      </left>
      <right style="thick">
        <color rgb="FF0FC3FF"/>
      </right>
      <top/>
      <bottom/>
      <diagonal/>
    </border>
    <border>
      <left style="thick">
        <color rgb="FF61D7FF"/>
      </left>
      <right style="thick">
        <color rgb="FF61D7FF"/>
      </right>
      <top/>
      <bottom style="thick">
        <color rgb="FF61D7FF"/>
      </bottom>
      <diagonal/>
    </border>
    <border>
      <left/>
      <right/>
      <top/>
      <bottom style="medium">
        <color rgb="FFD2D2D2"/>
      </bottom>
      <diagonal/>
    </border>
    <border>
      <left style="thin">
        <color rgb="FFBFBFBF"/>
      </left>
      <right style="thin">
        <color rgb="FFBFBFBF"/>
      </right>
      <top style="thin">
        <color rgb="FFBFBFBF"/>
      </top>
      <bottom style="thick">
        <color rgb="FFBFBFBF"/>
      </bottom>
      <diagonal/>
    </border>
    <border>
      <left style="thin">
        <color rgb="FFBFBFBF"/>
      </left>
      <right style="thick">
        <color rgb="FFBFBFBF"/>
      </right>
      <top style="thin">
        <color rgb="FFBFBFBF"/>
      </top>
      <bottom style="thick">
        <color rgb="FFBFBFBF"/>
      </bottom>
      <diagonal/>
    </border>
    <border>
      <left/>
      <right style="thin">
        <color rgb="FFD2D2D2"/>
      </right>
      <top/>
      <bottom/>
      <diagonal/>
    </border>
    <border>
      <left/>
      <right/>
      <top/>
      <bottom style="thin">
        <color rgb="FFD2D2D2"/>
      </bottom>
      <diagonal/>
    </border>
    <border>
      <left/>
      <right/>
      <top style="thin">
        <color rgb="FFD2D2D2"/>
      </top>
      <bottom style="thin">
        <color rgb="FFD2D2D2"/>
      </bottom>
      <diagonal/>
    </border>
    <border>
      <left/>
      <right style="thin">
        <color rgb="FFD2D2D2"/>
      </right>
      <top/>
      <bottom style="thin">
        <color rgb="FFD2D2D2"/>
      </bottom>
      <diagonal/>
    </border>
    <border>
      <left style="thin">
        <color rgb="FFD2D2D2"/>
      </left>
      <right/>
      <top/>
      <bottom style="thin">
        <color rgb="FFD2D2D2"/>
      </bottom>
      <diagonal/>
    </border>
    <border>
      <left style="thin">
        <color rgb="FFD2D2D2"/>
      </left>
      <right/>
      <top/>
      <bottom/>
      <diagonal/>
    </border>
    <border>
      <left style="thin">
        <color theme="1"/>
      </left>
      <right/>
      <top/>
      <bottom/>
      <diagonal/>
    </border>
    <border>
      <left/>
      <right style="thin">
        <color theme="1"/>
      </right>
      <top/>
      <bottom/>
      <diagonal/>
    </border>
    <border>
      <left/>
      <right style="thin">
        <color rgb="FF999999"/>
      </right>
      <top/>
      <bottom/>
      <diagonal/>
    </border>
    <border>
      <left style="thin">
        <color rgb="FF999999"/>
      </left>
      <right style="thin">
        <color rgb="FF999999"/>
      </right>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s>
  <cellStyleXfs count="2">
    <xf numFmtId="0" fontId="0" fillId="0" borderId="0"/>
    <xf numFmtId="9" fontId="13" fillId="0" borderId="0" applyFont="0" applyFill="0" applyBorder="0" applyAlignment="0" applyProtection="0"/>
  </cellStyleXfs>
  <cellXfs count="112">
    <xf numFmtId="0" fontId="0" fillId="0" borderId="0" xfId="0"/>
    <xf numFmtId="0" fontId="1" fillId="2" borderId="0" xfId="0" applyFont="1" applyFill="1" applyAlignment="1">
      <alignment vertical="center"/>
    </xf>
    <xf numFmtId="0" fontId="2" fillId="2" borderId="0" xfId="0" applyFont="1" applyFill="1" applyAlignment="1">
      <alignment vertical="center"/>
    </xf>
    <xf numFmtId="0" fontId="4" fillId="2" borderId="0" xfId="0" applyFont="1" applyFill="1" applyAlignment="1">
      <alignment vertical="center"/>
    </xf>
    <xf numFmtId="0" fontId="5" fillId="2" borderId="0" xfId="0" applyFont="1" applyFill="1" applyAlignment="1">
      <alignment horizontal="right" vertical="center"/>
    </xf>
    <xf numFmtId="164" fontId="6" fillId="3" borderId="1" xfId="0" applyNumberFormat="1" applyFont="1" applyFill="1" applyBorder="1" applyAlignment="1">
      <alignment horizontal="left" vertical="center" indent="1"/>
    </xf>
    <xf numFmtId="1" fontId="1" fillId="3" borderId="2" xfId="0" applyNumberFormat="1" applyFont="1" applyFill="1" applyBorder="1" applyAlignment="1" applyProtection="1">
      <alignment horizontal="left" vertical="center" indent="1"/>
      <protection locked="0"/>
    </xf>
    <xf numFmtId="0" fontId="1" fillId="3" borderId="0" xfId="0" applyFont="1" applyFill="1" applyAlignment="1">
      <alignment vertical="center"/>
    </xf>
    <xf numFmtId="0" fontId="2" fillId="3" borderId="0" xfId="0" applyFont="1" applyFill="1" applyAlignment="1">
      <alignment vertical="center"/>
    </xf>
    <xf numFmtId="0" fontId="11" fillId="4" borderId="4" xfId="0" applyFont="1" applyFill="1" applyBorder="1" applyAlignment="1">
      <alignment horizontal="center" wrapText="1"/>
    </xf>
    <xf numFmtId="0" fontId="11" fillId="4" borderId="5" xfId="0" applyFont="1" applyFill="1" applyBorder="1" applyAlignment="1">
      <alignment horizontal="center" wrapText="1"/>
    </xf>
    <xf numFmtId="0" fontId="12" fillId="5" borderId="6" xfId="0" applyFont="1" applyFill="1" applyBorder="1" applyAlignment="1">
      <alignment horizontal="center" vertical="center"/>
    </xf>
    <xf numFmtId="165" fontId="1" fillId="3" borderId="0" xfId="0" applyNumberFormat="1" applyFont="1" applyFill="1" applyAlignment="1">
      <alignment horizontal="left" vertical="center" indent="1"/>
    </xf>
    <xf numFmtId="0" fontId="11" fillId="7" borderId="8" xfId="0" applyFont="1" applyFill="1" applyBorder="1" applyAlignment="1">
      <alignment horizontal="center" wrapText="1"/>
    </xf>
    <xf numFmtId="0" fontId="11" fillId="7" borderId="9" xfId="0" applyFont="1" applyFill="1" applyBorder="1" applyAlignment="1">
      <alignment horizontal="center" wrapText="1"/>
    </xf>
    <xf numFmtId="0" fontId="12" fillId="8" borderId="10" xfId="0" applyFont="1" applyFill="1" applyBorder="1"/>
    <xf numFmtId="0" fontId="0" fillId="9" borderId="0" xfId="0" applyFill="1"/>
    <xf numFmtId="0" fontId="0" fillId="10" borderId="0" xfId="0" applyFill="1"/>
    <xf numFmtId="0" fontId="16" fillId="9" borderId="11" xfId="0" applyFont="1" applyFill="1" applyBorder="1" applyAlignment="1">
      <alignment horizontal="center"/>
    </xf>
    <xf numFmtId="0" fontId="15" fillId="9" borderId="11" xfId="0" applyFont="1" applyFill="1" applyBorder="1" applyAlignment="1">
      <alignment horizontal="center"/>
    </xf>
    <xf numFmtId="0" fontId="15" fillId="9" borderId="11" xfId="0" applyFont="1" applyFill="1" applyBorder="1" applyAlignment="1">
      <alignment horizontal="right"/>
    </xf>
    <xf numFmtId="0" fontId="15" fillId="9" borderId="11" xfId="0" applyFont="1" applyFill="1" applyBorder="1" applyAlignment="1">
      <alignment horizontal="left"/>
    </xf>
    <xf numFmtId="0" fontId="0" fillId="10" borderId="0" xfId="0" applyFill="1" applyAlignment="1">
      <alignment horizontal="left"/>
    </xf>
    <xf numFmtId="0" fontId="14" fillId="9" borderId="11" xfId="0" applyFont="1" applyFill="1" applyBorder="1" applyAlignment="1">
      <alignment horizontal="left"/>
    </xf>
    <xf numFmtId="0" fontId="0" fillId="11" borderId="0" xfId="0" applyFill="1"/>
    <xf numFmtId="0" fontId="0" fillId="12" borderId="0" xfId="0" applyFill="1"/>
    <xf numFmtId="0" fontId="0" fillId="13" borderId="0" xfId="0" applyFill="1"/>
    <xf numFmtId="0" fontId="0" fillId="14" borderId="0" xfId="0" applyFill="1"/>
    <xf numFmtId="9" fontId="0" fillId="0" borderId="0" xfId="1" applyFont="1"/>
    <xf numFmtId="2" fontId="0" fillId="0" borderId="0" xfId="0" applyNumberFormat="1"/>
    <xf numFmtId="0" fontId="19" fillId="10" borderId="0" xfId="0" applyFont="1" applyFill="1"/>
    <xf numFmtId="0" fontId="20" fillId="10" borderId="0" xfId="0" applyFont="1" applyFill="1" applyAlignment="1">
      <alignment horizontal="left"/>
    </xf>
    <xf numFmtId="0" fontId="20" fillId="10" borderId="0" xfId="0" applyFont="1" applyFill="1"/>
    <xf numFmtId="0" fontId="22" fillId="9" borderId="0" xfId="0" applyFont="1" applyFill="1" applyAlignment="1">
      <alignment horizontal="center" vertical="center"/>
    </xf>
    <xf numFmtId="0" fontId="0" fillId="9" borderId="14" xfId="0" applyFill="1" applyBorder="1"/>
    <xf numFmtId="0" fontId="23" fillId="9" borderId="0" xfId="0" applyFont="1" applyFill="1" applyAlignment="1">
      <alignment horizontal="center" vertical="center"/>
    </xf>
    <xf numFmtId="0" fontId="24" fillId="9" borderId="0" xfId="0" applyFont="1" applyFill="1" applyAlignment="1">
      <alignment horizontal="center" vertical="center"/>
    </xf>
    <xf numFmtId="0" fontId="23" fillId="9" borderId="14" xfId="0" applyFont="1" applyFill="1" applyBorder="1" applyAlignment="1">
      <alignment horizontal="center" vertical="center"/>
    </xf>
    <xf numFmtId="0" fontId="26" fillId="9" borderId="0" xfId="0" applyFont="1" applyFill="1"/>
    <xf numFmtId="0" fontId="26" fillId="9" borderId="0" xfId="0" applyFont="1" applyFill="1" applyAlignment="1">
      <alignment horizontal="left" indent="1"/>
    </xf>
    <xf numFmtId="0" fontId="27" fillId="9" borderId="0" xfId="0" applyFont="1" applyFill="1" applyAlignment="1">
      <alignment horizontal="left" vertical="center" indent="1"/>
    </xf>
    <xf numFmtId="0" fontId="31" fillId="9" borderId="0" xfId="0" applyFont="1" applyFill="1" applyAlignment="1">
      <alignment horizontal="left" vertical="center" indent="1"/>
    </xf>
    <xf numFmtId="0" fontId="32" fillId="9" borderId="16" xfId="0" applyFont="1" applyFill="1" applyBorder="1" applyAlignment="1">
      <alignment horizontal="center" vertical="center"/>
    </xf>
    <xf numFmtId="0" fontId="32" fillId="9" borderId="0" xfId="0" applyFont="1" applyFill="1" applyAlignment="1">
      <alignment horizontal="center" vertical="center"/>
    </xf>
    <xf numFmtId="0" fontId="33" fillId="9" borderId="16" xfId="0" applyFont="1" applyFill="1" applyBorder="1" applyAlignment="1">
      <alignment horizontal="center" vertical="center"/>
    </xf>
    <xf numFmtId="0" fontId="33" fillId="9" borderId="0" xfId="0" applyFont="1" applyFill="1" applyAlignment="1">
      <alignment horizontal="center" vertical="center"/>
    </xf>
    <xf numFmtId="0" fontId="35" fillId="5" borderId="12" xfId="0" applyFont="1" applyFill="1" applyBorder="1" applyAlignment="1">
      <alignment horizontal="right" vertical="center" indent="1"/>
    </xf>
    <xf numFmtId="0" fontId="35" fillId="5" borderId="13" xfId="0" applyFont="1" applyFill="1" applyBorder="1" applyAlignment="1">
      <alignment horizontal="right" vertical="center" indent="1"/>
    </xf>
    <xf numFmtId="0" fontId="36" fillId="0" borderId="0" xfId="0" applyFont="1"/>
    <xf numFmtId="165" fontId="11" fillId="4" borderId="3" xfId="0" applyNumberFormat="1" applyFont="1" applyFill="1" applyBorder="1" applyAlignment="1">
      <alignment horizontal="left" wrapText="1" indent="1"/>
    </xf>
    <xf numFmtId="0" fontId="0" fillId="0" borderId="0" xfId="0" applyAlignment="1">
      <alignment wrapText="1"/>
    </xf>
    <xf numFmtId="0" fontId="10" fillId="3" borderId="0" xfId="0" applyFont="1" applyFill="1" applyAlignment="1">
      <alignment horizontal="center" wrapText="1"/>
    </xf>
    <xf numFmtId="0" fontId="21" fillId="3" borderId="0" xfId="0" applyFont="1" applyFill="1" applyAlignment="1">
      <alignment horizontal="center"/>
    </xf>
    <xf numFmtId="0" fontId="10" fillId="3" borderId="0" xfId="0" applyFont="1" applyFill="1" applyAlignment="1">
      <alignment horizontal="center" vertical="center"/>
    </xf>
    <xf numFmtId="166" fontId="9" fillId="3" borderId="0" xfId="0" applyNumberFormat="1" applyFont="1" applyFill="1" applyAlignment="1">
      <alignment horizontal="left" vertical="center" indent="1"/>
    </xf>
    <xf numFmtId="0" fontId="0" fillId="3" borderId="0" xfId="0" quotePrefix="1" applyFill="1" applyAlignment="1">
      <alignment horizontal="left" indent="1"/>
    </xf>
    <xf numFmtId="0" fontId="10" fillId="3" borderId="0" xfId="0" applyFont="1" applyFill="1" applyAlignment="1">
      <alignment vertical="center"/>
    </xf>
    <xf numFmtId="167" fontId="12" fillId="5" borderId="6" xfId="0" applyNumberFormat="1" applyFont="1" applyFill="1" applyBorder="1" applyAlignment="1">
      <alignment horizontal="left" vertical="center" indent="1"/>
    </xf>
    <xf numFmtId="165" fontId="34" fillId="6" borderId="22" xfId="0" applyNumberFormat="1" applyFont="1" applyFill="1" applyBorder="1" applyAlignment="1">
      <alignment horizontal="left" wrapText="1" indent="1"/>
    </xf>
    <xf numFmtId="0" fontId="34" fillId="6" borderId="23" xfId="0" applyFont="1" applyFill="1" applyBorder="1" applyAlignment="1">
      <alignment horizontal="center" wrapText="1"/>
    </xf>
    <xf numFmtId="167" fontId="35" fillId="5" borderId="12" xfId="0" applyNumberFormat="1" applyFont="1" applyFill="1" applyBorder="1" applyAlignment="1">
      <alignment horizontal="left" vertical="center" indent="1"/>
    </xf>
    <xf numFmtId="0" fontId="36" fillId="0" borderId="0" xfId="0" applyFont="1" applyAlignment="1">
      <alignment wrapText="1"/>
    </xf>
    <xf numFmtId="14" fontId="0" fillId="0" borderId="0" xfId="0" applyNumberFormat="1"/>
    <xf numFmtId="19" fontId="0" fillId="0" borderId="0" xfId="0" applyNumberFormat="1"/>
    <xf numFmtId="0" fontId="38" fillId="16" borderId="25" xfId="0" applyFont="1" applyFill="1" applyBorder="1" applyAlignment="1">
      <alignment wrapText="1"/>
    </xf>
    <xf numFmtId="0" fontId="38" fillId="16" borderId="26" xfId="0" applyFont="1" applyFill="1" applyBorder="1" applyAlignment="1">
      <alignment wrapText="1"/>
    </xf>
    <xf numFmtId="0" fontId="38" fillId="16" borderId="24" xfId="0" applyFont="1" applyFill="1" applyBorder="1" applyAlignment="1">
      <alignment wrapText="1"/>
    </xf>
    <xf numFmtId="0" fontId="38" fillId="15" borderId="20" xfId="0" applyFont="1" applyFill="1" applyBorder="1" applyAlignment="1">
      <alignment wrapText="1"/>
    </xf>
    <xf numFmtId="0" fontId="38" fillId="15" borderId="0" xfId="0" applyFont="1" applyFill="1" applyAlignment="1">
      <alignment wrapText="1"/>
    </xf>
    <xf numFmtId="0" fontId="38" fillId="15" borderId="21" xfId="0" applyFont="1" applyFill="1" applyBorder="1" applyAlignment="1">
      <alignment wrapText="1"/>
    </xf>
    <xf numFmtId="0" fontId="45" fillId="10" borderId="0" xfId="0" applyFont="1" applyFill="1"/>
    <xf numFmtId="0" fontId="41" fillId="9" borderId="11" xfId="0" applyFont="1" applyFill="1" applyBorder="1" applyAlignment="1">
      <alignment horizontal="left" vertical="center" indent="2"/>
    </xf>
    <xf numFmtId="0" fontId="43" fillId="9" borderId="0" xfId="0" applyFont="1" applyFill="1" applyAlignment="1">
      <alignment horizontal="left" vertical="center" indent="1"/>
    </xf>
    <xf numFmtId="0" fontId="42" fillId="18" borderId="27" xfId="0" applyFont="1" applyFill="1" applyBorder="1" applyAlignment="1">
      <alignment horizontal="left" vertical="center" indent="1"/>
    </xf>
    <xf numFmtId="0" fontId="42" fillId="18" borderId="28" xfId="0" applyFont="1" applyFill="1" applyBorder="1" applyAlignment="1">
      <alignment horizontal="left" vertical="center" indent="1"/>
    </xf>
    <xf numFmtId="0" fontId="42" fillId="18" borderId="29" xfId="0" applyFont="1" applyFill="1" applyBorder="1" applyAlignment="1">
      <alignment horizontal="left" vertical="center" indent="1"/>
    </xf>
    <xf numFmtId="0" fontId="15" fillId="9" borderId="11" xfId="0" applyFont="1" applyFill="1" applyBorder="1" applyAlignment="1">
      <alignment horizontal="left"/>
    </xf>
    <xf numFmtId="0" fontId="0" fillId="9" borderId="0" xfId="0" applyFill="1" applyAlignment="1">
      <alignment vertical="center" wrapText="1"/>
    </xf>
    <xf numFmtId="0" fontId="18" fillId="9" borderId="0" xfId="0" applyFont="1" applyFill="1" applyAlignment="1">
      <alignment horizontal="center" vertical="center"/>
    </xf>
    <xf numFmtId="0" fontId="24" fillId="9" borderId="0" xfId="0" applyFont="1" applyFill="1" applyAlignment="1">
      <alignment horizontal="center" vertical="center"/>
    </xf>
    <xf numFmtId="9" fontId="31" fillId="9" borderId="0" xfId="0" applyNumberFormat="1" applyFont="1" applyFill="1" applyAlignment="1">
      <alignment horizontal="left" vertical="center" indent="1"/>
    </xf>
    <xf numFmtId="0" fontId="31" fillId="9" borderId="0" xfId="0" applyFont="1" applyFill="1" applyAlignment="1">
      <alignment horizontal="left" vertical="center" indent="1"/>
    </xf>
    <xf numFmtId="0" fontId="15" fillId="9" borderId="11" xfId="0" applyFont="1" applyFill="1" applyBorder="1" applyAlignment="1">
      <alignment horizontal="right"/>
    </xf>
    <xf numFmtId="0" fontId="23" fillId="9" borderId="0" xfId="0" applyFont="1" applyFill="1" applyAlignment="1">
      <alignment horizontal="center" vertical="center"/>
    </xf>
    <xf numFmtId="0" fontId="26" fillId="9" borderId="0" xfId="0" applyFont="1" applyFill="1" applyAlignment="1">
      <alignment horizontal="left" indent="1"/>
    </xf>
    <xf numFmtId="0" fontId="25" fillId="9" borderId="0" xfId="0" applyFont="1" applyFill="1" applyAlignment="1">
      <alignment vertical="center" wrapText="1"/>
    </xf>
    <xf numFmtId="0" fontId="44" fillId="9" borderId="0" xfId="0" applyFont="1" applyFill="1" applyAlignment="1">
      <alignment horizontal="center" vertical="top" wrapText="1"/>
    </xf>
    <xf numFmtId="0" fontId="37" fillId="9" borderId="0" xfId="0" applyFont="1" applyFill="1" applyAlignment="1">
      <alignment horizontal="center" vertical="center"/>
    </xf>
    <xf numFmtId="9" fontId="27" fillId="9" borderId="0" xfId="0" applyNumberFormat="1" applyFont="1" applyFill="1" applyAlignment="1">
      <alignment horizontal="left" vertical="center" indent="1"/>
    </xf>
    <xf numFmtId="0" fontId="27" fillId="9" borderId="0" xfId="0" applyFont="1" applyFill="1" applyAlignment="1">
      <alignment horizontal="left" vertical="center" indent="1"/>
    </xf>
    <xf numFmtId="0" fontId="14" fillId="9" borderId="11" xfId="0" applyFont="1" applyFill="1" applyBorder="1" applyAlignment="1">
      <alignment horizontal="left"/>
    </xf>
    <xf numFmtId="0" fontId="30" fillId="9" borderId="0" xfId="0" applyFont="1" applyFill="1" applyAlignment="1">
      <alignment horizontal="center" vertical="center"/>
    </xf>
    <xf numFmtId="0" fontId="28" fillId="9" borderId="0" xfId="0" applyFont="1" applyFill="1" applyAlignment="1">
      <alignment horizontal="center" vertical="center"/>
    </xf>
    <xf numFmtId="0" fontId="28" fillId="9" borderId="14" xfId="0" applyFont="1" applyFill="1" applyBorder="1" applyAlignment="1">
      <alignment horizontal="center" vertical="center"/>
    </xf>
    <xf numFmtId="0" fontId="28" fillId="9" borderId="15" xfId="0" applyFont="1" applyFill="1" applyBorder="1" applyAlignment="1">
      <alignment horizontal="center" vertical="center"/>
    </xf>
    <xf numFmtId="0" fontId="28" fillId="9" borderId="17" xfId="0" applyFont="1" applyFill="1" applyBorder="1" applyAlignment="1">
      <alignment horizontal="center" vertical="center"/>
    </xf>
    <xf numFmtId="0" fontId="29" fillId="9" borderId="19" xfId="0" applyFont="1" applyFill="1" applyBorder="1" applyAlignment="1">
      <alignment horizontal="center" vertical="center"/>
    </xf>
    <xf numFmtId="0" fontId="29" fillId="9" borderId="0" xfId="0" applyFont="1" applyFill="1" applyAlignment="1">
      <alignment horizontal="center" vertical="center"/>
    </xf>
    <xf numFmtId="0" fontId="29" fillId="9" borderId="18" xfId="0" applyFont="1" applyFill="1" applyBorder="1" applyAlignment="1">
      <alignment horizontal="center" vertical="center"/>
    </xf>
    <xf numFmtId="0" fontId="29" fillId="9" borderId="15" xfId="0" applyFont="1" applyFill="1" applyBorder="1" applyAlignment="1">
      <alignment horizontal="center" vertical="center"/>
    </xf>
    <xf numFmtId="0" fontId="24" fillId="9" borderId="16" xfId="0" applyFont="1" applyFill="1" applyBorder="1" applyAlignment="1">
      <alignment horizontal="center" vertical="center"/>
    </xf>
    <xf numFmtId="0" fontId="40" fillId="17" borderId="0" xfId="0" applyFont="1" applyFill="1" applyAlignment="1">
      <alignment horizontal="left" vertical="center" wrapText="1" indent="1"/>
    </xf>
    <xf numFmtId="0" fontId="3" fillId="3" borderId="0" xfId="0" applyFont="1" applyFill="1" applyAlignment="1">
      <alignment horizontal="left" indent="1"/>
    </xf>
    <xf numFmtId="0" fontId="1" fillId="3" borderId="0" xfId="0" applyFont="1" applyFill="1" applyAlignment="1">
      <alignment horizontal="left" vertical="top" wrapText="1" indent="1"/>
    </xf>
    <xf numFmtId="0" fontId="9" fillId="3" borderId="0" xfId="0" applyFont="1" applyFill="1" applyAlignment="1">
      <alignment horizontal="left" vertical="center" indent="1"/>
    </xf>
    <xf numFmtId="166" fontId="9" fillId="3" borderId="7" xfId="0" applyNumberFormat="1" applyFont="1" applyFill="1" applyBorder="1" applyAlignment="1">
      <alignment horizontal="left" vertical="center" indent="1"/>
    </xf>
    <xf numFmtId="0" fontId="8" fillId="3" borderId="0" xfId="0" applyFont="1" applyFill="1" applyAlignment="1">
      <alignment vertical="center"/>
    </xf>
    <xf numFmtId="0" fontId="3" fillId="2" borderId="0" xfId="0" applyFont="1" applyFill="1" applyAlignment="1">
      <alignment horizontal="left" indent="1"/>
    </xf>
    <xf numFmtId="0" fontId="1" fillId="2" borderId="0" xfId="0" applyFont="1" applyFill="1" applyAlignment="1">
      <alignment horizontal="left" vertical="top" wrapText="1" indent="1"/>
    </xf>
    <xf numFmtId="0" fontId="7" fillId="2" borderId="0" xfId="0" applyFont="1" applyFill="1" applyAlignment="1">
      <alignment horizontal="left" vertical="center" wrapText="1" indent="1"/>
    </xf>
    <xf numFmtId="0" fontId="39" fillId="9" borderId="0" xfId="0" applyFont="1" applyFill="1" applyAlignment="1"/>
    <xf numFmtId="0" fontId="0" fillId="0" borderId="0" xfId="0" applyAlignment="1"/>
  </cellXfs>
  <cellStyles count="2">
    <cellStyle name="Normal" xfId="0" builtinId="0"/>
    <cellStyle name="Percent" xfId="1" builtinId="5"/>
  </cellStyles>
  <dxfs count="9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3" formatCode="0%"/>
    </dxf>
    <dxf>
      <numFmt numFmtId="0" formatCode="General"/>
    </dxf>
    <dxf>
      <numFmt numFmtId="0" formatCode="General"/>
    </dxf>
    <dxf>
      <numFmt numFmtId="0" formatCode="General"/>
    </dxf>
    <dxf>
      <numFmt numFmtId="0" formatCode="General"/>
    </dxf>
    <dxf>
      <numFmt numFmtId="0" formatCode="General"/>
    </dxf>
    <dxf>
      <border outline="0">
        <top style="thin">
          <color theme="6" tint="0.39997558519241921"/>
        </top>
      </border>
    </dxf>
    <dxf>
      <font>
        <color theme="9"/>
      </font>
    </dxf>
    <dxf>
      <font>
        <color rgb="FF494949"/>
      </font>
    </dxf>
    <dxf>
      <font>
        <color theme="7"/>
      </font>
    </dxf>
    <dxf>
      <font>
        <b/>
        <i val="0"/>
        <color rgb="FF494949"/>
      </font>
    </dxf>
    <dxf>
      <font>
        <strike val="0"/>
        <outline val="0"/>
        <shadow val="0"/>
        <u val="none"/>
        <vertAlign val="baseline"/>
        <sz val="11"/>
        <color theme="1"/>
        <name val="Segoe UI Symbol"/>
        <family val="2"/>
        <scheme val="none"/>
      </font>
      <numFmt numFmtId="0" formatCode="General"/>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border outline="0">
        <top style="thin">
          <color theme="1"/>
        </top>
      </border>
    </dxf>
    <dxf>
      <font>
        <strike val="0"/>
        <outline val="0"/>
        <shadow val="0"/>
        <u val="none"/>
        <vertAlign val="baseline"/>
        <sz val="11"/>
        <color theme="1"/>
        <name val="Segoe UI Symbol"/>
        <family val="2"/>
        <scheme val="none"/>
      </font>
      <alignment horizontal="general" vertical="bottom" textRotation="0" wrapText="1" indent="0" justifyLastLine="0" shrinkToFit="0" readingOrder="0"/>
    </dxf>
    <dxf>
      <font>
        <b/>
        <i val="0"/>
        <strike val="0"/>
        <condense val="0"/>
        <extend val="0"/>
        <outline val="0"/>
        <shadow val="0"/>
        <u val="none"/>
        <vertAlign val="baseline"/>
        <sz val="11"/>
        <color theme="0"/>
        <name val="Segoe UI"/>
        <family val="2"/>
        <scheme val="minor"/>
      </font>
      <fill>
        <patternFill patternType="solid">
          <fgColor theme="1"/>
          <bgColor theme="1"/>
        </patternFill>
      </fill>
      <alignment horizontal="general" vertical="bottom" textRotation="0" wrapText="1" indent="0" justifyLastLine="0" shrinkToFit="0" readingOrder="0"/>
    </dxf>
  </dxfs>
  <tableStyles count="1" defaultTableStyle="TableStyleMedium2" defaultPivotStyle="PivotStyleLight16">
    <tableStyle name="Invisible" pivot="0" table="0" count="0" xr9:uid="{25262E0A-3DC5-45FC-9A43-0FAEDCF1B513}"/>
  </tableStyles>
  <colors>
    <mruColors>
      <color rgb="FFD2D2D2"/>
      <color rgb="FF494949"/>
      <color rgb="FFD9E02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charts/_rels/chart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charts/_rels/chart9.xml.rels><?xml version="1.0" encoding="UTF-8" standalone="yes"?>
<Relationships xmlns="http://schemas.openxmlformats.org/package/2006/relationships"><Relationship Id="rId1" Type="http://schemas.openxmlformats.org/officeDocument/2006/relationships/image" Target="../media/image7.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tx>
            <c:strRef>
              <c:f>Backend!$D$3</c:f>
              <c:strCache>
                <c:ptCount val="1"/>
                <c:pt idx="0">
                  <c:v>Radius</c:v>
                </c:pt>
              </c:strCache>
            </c:strRef>
          </c:tx>
          <c:spPr>
            <a:ln w="444500" cap="rnd">
              <a:solidFill>
                <a:schemeClr val="accent4"/>
              </a:solidFill>
              <a:round/>
            </a:ln>
            <a:effectLst/>
          </c:spPr>
          <c:marker>
            <c:symbol val="none"/>
          </c:marker>
          <c:xVal>
            <c:numRef>
              <c:f>Backend!$E$3:$F$3</c:f>
              <c:numCache>
                <c:formatCode>General</c:formatCode>
                <c:ptCount val="2"/>
                <c:pt idx="0">
                  <c:v>3.2</c:v>
                </c:pt>
                <c:pt idx="1">
                  <c:v>3.2</c:v>
                </c:pt>
              </c:numCache>
            </c:numRef>
          </c:xVal>
          <c:yVal>
            <c:numRef>
              <c:f>Backend!$G$3:$H$3</c:f>
              <c:numCache>
                <c:formatCode>General</c:formatCode>
                <c:ptCount val="2"/>
                <c:pt idx="0">
                  <c:v>-10</c:v>
                </c:pt>
                <c:pt idx="1">
                  <c:v>14</c:v>
                </c:pt>
              </c:numCache>
            </c:numRef>
          </c:yVal>
          <c:smooth val="0"/>
          <c:extLst>
            <c:ext xmlns:c16="http://schemas.microsoft.com/office/drawing/2014/chart" uri="{C3380CC4-5D6E-409C-BE32-E72D297353CC}">
              <c16:uniqueId val="{00000000-DE99-4F6A-B3E0-EB4E32ED605C}"/>
            </c:ext>
          </c:extLst>
        </c:ser>
        <c:ser>
          <c:idx val="1"/>
          <c:order val="1"/>
          <c:tx>
            <c:strRef>
              <c:f>Backend!$D$4</c:f>
              <c:strCache>
                <c:ptCount val="1"/>
                <c:pt idx="0">
                  <c:v>Ulna</c:v>
                </c:pt>
              </c:strCache>
            </c:strRef>
          </c:tx>
          <c:spPr>
            <a:ln w="19050" cap="rnd">
              <a:solidFill>
                <a:schemeClr val="accent4"/>
              </a:solidFill>
              <a:round/>
            </a:ln>
            <a:effectLst/>
          </c:spPr>
          <c:marker>
            <c:symbol val="none"/>
          </c:marker>
          <c:dPt>
            <c:idx val="1"/>
            <c:marker>
              <c:symbol val="none"/>
            </c:marker>
            <c:bubble3D val="0"/>
            <c:spPr>
              <a:ln w="317500" cap="rnd">
                <a:solidFill>
                  <a:schemeClr val="accent4"/>
                </a:solidFill>
                <a:round/>
              </a:ln>
              <a:effectLst/>
            </c:spPr>
            <c:extLst>
              <c:ext xmlns:c16="http://schemas.microsoft.com/office/drawing/2014/chart" uri="{C3380CC4-5D6E-409C-BE32-E72D297353CC}">
                <c16:uniqueId val="{00000002-DE99-4F6A-B3E0-EB4E32ED605C}"/>
              </c:ext>
            </c:extLst>
          </c:dPt>
          <c:xVal>
            <c:numRef>
              <c:f>Backend!$E$4:$F$4</c:f>
              <c:numCache>
                <c:formatCode>General</c:formatCode>
                <c:ptCount val="2"/>
                <c:pt idx="0">
                  <c:v>2.2999999999999998</c:v>
                </c:pt>
                <c:pt idx="1">
                  <c:v>2.2999999999999998</c:v>
                </c:pt>
              </c:numCache>
            </c:numRef>
          </c:xVal>
          <c:yVal>
            <c:numRef>
              <c:f>Backend!$G$4:$H$4</c:f>
              <c:numCache>
                <c:formatCode>General</c:formatCode>
                <c:ptCount val="2"/>
                <c:pt idx="0">
                  <c:v>-10</c:v>
                </c:pt>
                <c:pt idx="1">
                  <c:v>14</c:v>
                </c:pt>
              </c:numCache>
            </c:numRef>
          </c:yVal>
          <c:smooth val="0"/>
          <c:extLst>
            <c:ext xmlns:c16="http://schemas.microsoft.com/office/drawing/2014/chart" uri="{C3380CC4-5D6E-409C-BE32-E72D297353CC}">
              <c16:uniqueId val="{00000003-DE99-4F6A-B3E0-EB4E32ED605C}"/>
            </c:ext>
          </c:extLst>
        </c:ser>
        <c:ser>
          <c:idx val="2"/>
          <c:order val="2"/>
          <c:tx>
            <c:strRef>
              <c:f>Backend!$D$5</c:f>
              <c:strCache>
                <c:ptCount val="1"/>
                <c:pt idx="0">
                  <c:v>Carpals Proxy 1</c:v>
                </c:pt>
              </c:strCache>
            </c:strRef>
          </c:tx>
          <c:spPr>
            <a:ln w="317500" cap="rnd">
              <a:solidFill>
                <a:schemeClr val="accent4"/>
              </a:solidFill>
              <a:round/>
            </a:ln>
            <a:effectLst/>
          </c:spPr>
          <c:marker>
            <c:symbol val="none"/>
          </c:marker>
          <c:xVal>
            <c:numRef>
              <c:f>Backend!$E$5:$F$5</c:f>
              <c:numCache>
                <c:formatCode>General</c:formatCode>
                <c:ptCount val="2"/>
                <c:pt idx="0">
                  <c:v>2.15</c:v>
                </c:pt>
                <c:pt idx="1">
                  <c:v>1.9</c:v>
                </c:pt>
              </c:numCache>
            </c:numRef>
          </c:xVal>
          <c:yVal>
            <c:numRef>
              <c:f>Backend!$G$5:$H$5</c:f>
              <c:numCache>
                <c:formatCode>General</c:formatCode>
                <c:ptCount val="2"/>
                <c:pt idx="0">
                  <c:v>8</c:v>
                </c:pt>
                <c:pt idx="1">
                  <c:v>20</c:v>
                </c:pt>
              </c:numCache>
            </c:numRef>
          </c:yVal>
          <c:smooth val="0"/>
          <c:extLst>
            <c:ext xmlns:c16="http://schemas.microsoft.com/office/drawing/2014/chart" uri="{C3380CC4-5D6E-409C-BE32-E72D297353CC}">
              <c16:uniqueId val="{00000004-DE99-4F6A-B3E0-EB4E32ED605C}"/>
            </c:ext>
          </c:extLst>
        </c:ser>
        <c:ser>
          <c:idx val="3"/>
          <c:order val="3"/>
          <c:tx>
            <c:strRef>
              <c:f>Backend!$D$6</c:f>
              <c:strCache>
                <c:ptCount val="1"/>
                <c:pt idx="0">
                  <c:v>Carpals Proxy 2</c:v>
                </c:pt>
              </c:strCache>
            </c:strRef>
          </c:tx>
          <c:spPr>
            <a:ln w="317500" cap="rnd">
              <a:solidFill>
                <a:schemeClr val="accent4"/>
              </a:solidFill>
              <a:round/>
            </a:ln>
            <a:effectLst/>
          </c:spPr>
          <c:marker>
            <c:symbol val="none"/>
          </c:marker>
          <c:xVal>
            <c:numRef>
              <c:f>Backend!$E$6:$F$6</c:f>
              <c:numCache>
                <c:formatCode>General</c:formatCode>
                <c:ptCount val="2"/>
                <c:pt idx="0">
                  <c:v>1.9</c:v>
                </c:pt>
                <c:pt idx="1">
                  <c:v>3.7</c:v>
                </c:pt>
              </c:numCache>
            </c:numRef>
          </c:xVal>
          <c:yVal>
            <c:numRef>
              <c:f>Backend!$G$6:$H$6</c:f>
              <c:numCache>
                <c:formatCode>General</c:formatCode>
                <c:ptCount val="2"/>
                <c:pt idx="0">
                  <c:v>20</c:v>
                </c:pt>
                <c:pt idx="1">
                  <c:v>20</c:v>
                </c:pt>
              </c:numCache>
            </c:numRef>
          </c:yVal>
          <c:smooth val="0"/>
          <c:extLst>
            <c:ext xmlns:c16="http://schemas.microsoft.com/office/drawing/2014/chart" uri="{C3380CC4-5D6E-409C-BE32-E72D297353CC}">
              <c16:uniqueId val="{00000005-DE99-4F6A-B3E0-EB4E32ED605C}"/>
            </c:ext>
          </c:extLst>
        </c:ser>
        <c:ser>
          <c:idx val="4"/>
          <c:order val="4"/>
          <c:tx>
            <c:strRef>
              <c:f>Backend!$D$7</c:f>
              <c:strCache>
                <c:ptCount val="1"/>
                <c:pt idx="0">
                  <c:v>Carpals Proxy 3</c:v>
                </c:pt>
              </c:strCache>
            </c:strRef>
          </c:tx>
          <c:spPr>
            <a:ln w="317500" cap="rnd">
              <a:solidFill>
                <a:schemeClr val="accent4"/>
              </a:solidFill>
              <a:round/>
            </a:ln>
            <a:effectLst/>
          </c:spPr>
          <c:marker>
            <c:symbol val="none"/>
          </c:marker>
          <c:xVal>
            <c:numRef>
              <c:f>Backend!$E$7:$F$7</c:f>
              <c:numCache>
                <c:formatCode>General</c:formatCode>
                <c:ptCount val="2"/>
                <c:pt idx="0">
                  <c:v>3.7</c:v>
                </c:pt>
                <c:pt idx="1">
                  <c:v>3.45</c:v>
                </c:pt>
              </c:numCache>
            </c:numRef>
          </c:xVal>
          <c:yVal>
            <c:numRef>
              <c:f>Backend!$G$7:$H$7</c:f>
              <c:numCache>
                <c:formatCode>General</c:formatCode>
                <c:ptCount val="2"/>
                <c:pt idx="0">
                  <c:v>20</c:v>
                </c:pt>
                <c:pt idx="1">
                  <c:v>8</c:v>
                </c:pt>
              </c:numCache>
            </c:numRef>
          </c:yVal>
          <c:smooth val="0"/>
          <c:extLst>
            <c:ext xmlns:c16="http://schemas.microsoft.com/office/drawing/2014/chart" uri="{C3380CC4-5D6E-409C-BE32-E72D297353CC}">
              <c16:uniqueId val="{00000006-DE99-4F6A-B3E0-EB4E32ED605C}"/>
            </c:ext>
          </c:extLst>
        </c:ser>
        <c:ser>
          <c:idx val="5"/>
          <c:order val="5"/>
          <c:tx>
            <c:strRef>
              <c:f>Backend!$D$8</c:f>
              <c:strCache>
                <c:ptCount val="1"/>
                <c:pt idx="0">
                  <c:v>Carpals Proxy 4</c:v>
                </c:pt>
              </c:strCache>
            </c:strRef>
          </c:tx>
          <c:spPr>
            <a:ln w="317500" cap="rnd">
              <a:solidFill>
                <a:schemeClr val="accent4"/>
              </a:solidFill>
              <a:round/>
            </a:ln>
            <a:effectLst/>
          </c:spPr>
          <c:marker>
            <c:symbol val="none"/>
          </c:marker>
          <c:xVal>
            <c:numRef>
              <c:f>Backend!$E$8:$F$8</c:f>
              <c:numCache>
                <c:formatCode>General</c:formatCode>
                <c:ptCount val="2"/>
                <c:pt idx="0">
                  <c:v>3.45</c:v>
                </c:pt>
                <c:pt idx="1">
                  <c:v>2.15</c:v>
                </c:pt>
              </c:numCache>
            </c:numRef>
          </c:xVal>
          <c:yVal>
            <c:numRef>
              <c:f>Backend!$G$8:$H$8</c:f>
              <c:numCache>
                <c:formatCode>General</c:formatCode>
                <c:ptCount val="2"/>
                <c:pt idx="0">
                  <c:v>8</c:v>
                </c:pt>
                <c:pt idx="1">
                  <c:v>8</c:v>
                </c:pt>
              </c:numCache>
            </c:numRef>
          </c:yVal>
          <c:smooth val="0"/>
          <c:extLst>
            <c:ext xmlns:c16="http://schemas.microsoft.com/office/drawing/2014/chart" uri="{C3380CC4-5D6E-409C-BE32-E72D297353CC}">
              <c16:uniqueId val="{00000007-DE99-4F6A-B3E0-EB4E32ED605C}"/>
            </c:ext>
          </c:extLst>
        </c:ser>
        <c:ser>
          <c:idx val="6"/>
          <c:order val="6"/>
          <c:tx>
            <c:strRef>
              <c:f>Backend!$D$9</c:f>
              <c:strCache>
                <c:ptCount val="1"/>
                <c:pt idx="0">
                  <c:v>Carpals Proxy 5</c:v>
                </c:pt>
              </c:strCache>
            </c:strRef>
          </c:tx>
          <c:spPr>
            <a:ln w="952500" cap="rnd">
              <a:solidFill>
                <a:schemeClr val="accent4"/>
              </a:solidFill>
              <a:round/>
            </a:ln>
            <a:effectLst/>
          </c:spPr>
          <c:marker>
            <c:symbol val="none"/>
          </c:marker>
          <c:xVal>
            <c:numRef>
              <c:f>Backend!$E$9:$F$9</c:f>
              <c:numCache>
                <c:formatCode>General</c:formatCode>
                <c:ptCount val="2"/>
                <c:pt idx="0">
                  <c:v>2.6999999999999997</c:v>
                </c:pt>
                <c:pt idx="1">
                  <c:v>2.9</c:v>
                </c:pt>
              </c:numCache>
            </c:numRef>
          </c:xVal>
          <c:yVal>
            <c:numRef>
              <c:f>Backend!$G$9:$H$9</c:f>
              <c:numCache>
                <c:formatCode>General</c:formatCode>
                <c:ptCount val="2"/>
                <c:pt idx="0">
                  <c:v>14</c:v>
                </c:pt>
                <c:pt idx="1">
                  <c:v>14</c:v>
                </c:pt>
              </c:numCache>
            </c:numRef>
          </c:yVal>
          <c:smooth val="0"/>
          <c:extLst>
            <c:ext xmlns:c16="http://schemas.microsoft.com/office/drawing/2014/chart" uri="{C3380CC4-5D6E-409C-BE32-E72D297353CC}">
              <c16:uniqueId val="{00000008-DE99-4F6A-B3E0-EB4E32ED605C}"/>
            </c:ext>
          </c:extLst>
        </c:ser>
        <c:ser>
          <c:idx val="11"/>
          <c:order val="11"/>
          <c:tx>
            <c:strRef>
              <c:f>Backend!$D$14</c:f>
              <c:strCache>
                <c:ptCount val="1"/>
                <c:pt idx="0">
                  <c:v>Distal Phalanges (I)</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Backend!$E$14:$F$14</c:f>
              <c:numCache>
                <c:formatCode>General</c:formatCode>
                <c:ptCount val="2"/>
                <c:pt idx="0">
                  <c:v>2.25</c:v>
                </c:pt>
                <c:pt idx="1">
                  <c:v>1.9</c:v>
                </c:pt>
              </c:numCache>
            </c:numRef>
          </c:xVal>
          <c:yVal>
            <c:numRef>
              <c:f>Backend!$G$14:$H$14</c:f>
              <c:numCache>
                <c:formatCode>General</c:formatCode>
                <c:ptCount val="2"/>
                <c:pt idx="0">
                  <c:v>16</c:v>
                </c:pt>
                <c:pt idx="1">
                  <c:v>38.99733680233431</c:v>
                </c:pt>
              </c:numCache>
            </c:numRef>
          </c:yVal>
          <c:smooth val="0"/>
          <c:extLst>
            <c:ext xmlns:c16="http://schemas.microsoft.com/office/drawing/2014/chart" uri="{C3380CC4-5D6E-409C-BE32-E72D297353CC}">
              <c16:uniqueId val="{0000000D-DE99-4F6A-B3E0-EB4E32ED605C}"/>
            </c:ext>
          </c:extLst>
        </c:ser>
        <c:ser>
          <c:idx val="12"/>
          <c:order val="12"/>
          <c:tx>
            <c:strRef>
              <c:f>Backend!$D$15</c:f>
              <c:strCache>
                <c:ptCount val="1"/>
                <c:pt idx="0">
                  <c:v>Middle Phalanges (I)</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Backend!$E$15:$F$15</c:f>
              <c:numCache>
                <c:formatCode>General</c:formatCode>
                <c:ptCount val="2"/>
                <c:pt idx="0">
                  <c:v>1.9</c:v>
                </c:pt>
                <c:pt idx="1">
                  <c:v>1.8224137931034483</c:v>
                </c:pt>
              </c:numCache>
            </c:numRef>
          </c:xVal>
          <c:yVal>
            <c:numRef>
              <c:f>Backend!$G$15:$H$15</c:f>
              <c:numCache>
                <c:formatCode>General</c:formatCode>
                <c:ptCount val="2"/>
                <c:pt idx="0">
                  <c:v>38.99733680233431</c:v>
                </c:pt>
                <c:pt idx="1">
                  <c:v>53.997136147008874</c:v>
                </c:pt>
              </c:numCache>
            </c:numRef>
          </c:yVal>
          <c:smooth val="0"/>
          <c:extLst>
            <c:ext xmlns:c16="http://schemas.microsoft.com/office/drawing/2014/chart" uri="{C3380CC4-5D6E-409C-BE32-E72D297353CC}">
              <c16:uniqueId val="{0000000E-DE99-4F6A-B3E0-EB4E32ED605C}"/>
            </c:ext>
          </c:extLst>
        </c:ser>
        <c:ser>
          <c:idx val="13"/>
          <c:order val="13"/>
          <c:tx>
            <c:strRef>
              <c:f>Backend!$D$16</c:f>
              <c:strCache>
                <c:ptCount val="1"/>
                <c:pt idx="0">
                  <c:v>Proximal Phalanges (I)</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Backend!$E$16:$F$16</c:f>
              <c:numCache>
                <c:formatCode>General</c:formatCode>
                <c:ptCount val="2"/>
                <c:pt idx="0">
                  <c:v>1.8224137931034483</c:v>
                </c:pt>
                <c:pt idx="1">
                  <c:v>1.7758620689655173</c:v>
                </c:pt>
              </c:numCache>
            </c:numRef>
          </c:xVal>
          <c:yVal>
            <c:numRef>
              <c:f>Backend!$G$16:$H$16</c:f>
              <c:numCache>
                <c:formatCode>General</c:formatCode>
                <c:ptCount val="2"/>
                <c:pt idx="0">
                  <c:v>53.997136147008874</c:v>
                </c:pt>
                <c:pt idx="1">
                  <c:v>62.997015753813614</c:v>
                </c:pt>
              </c:numCache>
            </c:numRef>
          </c:yVal>
          <c:smooth val="0"/>
          <c:extLst>
            <c:ext xmlns:c16="http://schemas.microsoft.com/office/drawing/2014/chart" uri="{C3380CC4-5D6E-409C-BE32-E72D297353CC}">
              <c16:uniqueId val="{0000000F-DE99-4F6A-B3E0-EB4E32ED605C}"/>
            </c:ext>
          </c:extLst>
        </c:ser>
        <c:ser>
          <c:idx val="14"/>
          <c:order val="14"/>
          <c:tx>
            <c:strRef>
              <c:f>Backend!$D$17</c:f>
              <c:strCache>
                <c:ptCount val="1"/>
                <c:pt idx="0">
                  <c:v>Metacarpals (I)</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Backend!$E$17:$F$17</c:f>
              <c:numCache>
                <c:formatCode>General</c:formatCode>
                <c:ptCount val="2"/>
                <c:pt idx="0">
                  <c:v>1.7758620689655173</c:v>
                </c:pt>
                <c:pt idx="1">
                  <c:v>1.7500000000000002</c:v>
                </c:pt>
              </c:numCache>
            </c:numRef>
          </c:xVal>
          <c:yVal>
            <c:numRef>
              <c:f>Backend!$G$17:$H$17</c:f>
              <c:numCache>
                <c:formatCode>General</c:formatCode>
                <c:ptCount val="2"/>
                <c:pt idx="0">
                  <c:v>62.997015753813614</c:v>
                </c:pt>
                <c:pt idx="1">
                  <c:v>67.996948868705132</c:v>
                </c:pt>
              </c:numCache>
            </c:numRef>
          </c:yVal>
          <c:smooth val="0"/>
          <c:extLst>
            <c:ext xmlns:c16="http://schemas.microsoft.com/office/drawing/2014/chart" uri="{C3380CC4-5D6E-409C-BE32-E72D297353CC}">
              <c16:uniqueId val="{00000010-DE99-4F6A-B3E0-EB4E32ED605C}"/>
            </c:ext>
          </c:extLst>
        </c:ser>
        <c:dLbls>
          <c:showLegendKey val="0"/>
          <c:showVal val="0"/>
          <c:showCatName val="0"/>
          <c:showSerName val="0"/>
          <c:showPercent val="0"/>
          <c:showBubbleSize val="0"/>
        </c:dLbls>
        <c:axId val="697849376"/>
        <c:axId val="618497824"/>
        <c:extLst>
          <c:ext xmlns:c15="http://schemas.microsoft.com/office/drawing/2012/chart" uri="{02D57815-91ED-43cb-92C2-25804820EDAC}">
            <c15:filteredScatterSeries>
              <c15:ser>
                <c:idx val="7"/>
                <c:order val="7"/>
                <c:tx>
                  <c:strRef>
                    <c:extLst>
                      <c:ext uri="{02D57815-91ED-43cb-92C2-25804820EDAC}">
                        <c15:formulaRef>
                          <c15:sqref>Backend!$D$10</c15:sqref>
                        </c15:formulaRef>
                      </c:ext>
                    </c:extLst>
                    <c:strCache>
                      <c:ptCount val="1"/>
                      <c:pt idx="0">
                        <c:v>Distal Phalanges (T)</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extLst>
                      <c:ext uri="{02D57815-91ED-43cb-92C2-25804820EDAC}">
                        <c15:formulaRef>
                          <c15:sqref>Backend!$E$10:$F$10</c15:sqref>
                        </c15:formulaRef>
                      </c:ext>
                    </c:extLst>
                    <c:numCache>
                      <c:formatCode>General</c:formatCode>
                      <c:ptCount val="2"/>
                      <c:pt idx="0">
                        <c:v>2</c:v>
                      </c:pt>
                      <c:pt idx="1">
                        <c:v>0.75</c:v>
                      </c:pt>
                    </c:numCache>
                  </c:numRef>
                </c:xVal>
                <c:yVal>
                  <c:numRef>
                    <c:extLst>
                      <c:ext uri="{02D57815-91ED-43cb-92C2-25804820EDAC}">
                        <c15:formulaRef>
                          <c15:sqref>Backend!$G$10:$H$10</c15:sqref>
                        </c15:formulaRef>
                      </c:ext>
                    </c:extLst>
                    <c:numCache>
                      <c:formatCode>General</c:formatCode>
                      <c:ptCount val="2"/>
                      <c:pt idx="0">
                        <c:v>14</c:v>
                      </c:pt>
                      <c:pt idx="1">
                        <c:v>26.939764294607535</c:v>
                      </c:pt>
                    </c:numCache>
                  </c:numRef>
                </c:yVal>
                <c:smooth val="0"/>
                <c:extLst>
                  <c:ext xmlns:c16="http://schemas.microsoft.com/office/drawing/2014/chart" uri="{C3380CC4-5D6E-409C-BE32-E72D297353CC}">
                    <c16:uniqueId val="{00000009-DE99-4F6A-B3E0-EB4E32ED605C}"/>
                  </c:ext>
                </c:extLst>
              </c15:ser>
            </c15:filteredScatterSeries>
            <c15:filteredScatterSeries>
              <c15:ser>
                <c:idx val="8"/>
                <c:order val="8"/>
                <c:tx>
                  <c:strRef>
                    <c:extLst xmlns:c15="http://schemas.microsoft.com/office/drawing/2012/chart">
                      <c:ext xmlns:c15="http://schemas.microsoft.com/office/drawing/2012/chart" uri="{02D57815-91ED-43cb-92C2-25804820EDAC}">
                        <c15:formulaRef>
                          <c15:sqref>Backend!$D$11</c15:sqref>
                        </c15:formulaRef>
                      </c:ext>
                    </c:extLst>
                    <c:strCache>
                      <c:ptCount val="1"/>
                      <c:pt idx="0">
                        <c:v>Middle Phalanges (T)</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Backend!$E$11:$F$11</c15:sqref>
                        </c15:formulaRef>
                      </c:ext>
                    </c:extLst>
                    <c:numCache>
                      <c:formatCode>General</c:formatCode>
                      <c:ptCount val="2"/>
                      <c:pt idx="0">
                        <c:v>0.75</c:v>
                      </c:pt>
                      <c:pt idx="1">
                        <c:v>0.43181818181818182</c:v>
                      </c:pt>
                    </c:numCache>
                  </c:numRef>
                </c:xVal>
                <c:yVal>
                  <c:numRef>
                    <c:extLst xmlns:c15="http://schemas.microsoft.com/office/drawing/2012/chart">
                      <c:ext xmlns:c15="http://schemas.microsoft.com/office/drawing/2012/chart" uri="{02D57815-91ED-43cb-92C2-25804820EDAC}">
                        <c15:formulaRef>
                          <c15:sqref>Backend!$G$11:$H$11</c15:sqref>
                        </c15:formulaRef>
                      </c:ext>
                    </c:extLst>
                    <c:numCache>
                      <c:formatCode>General</c:formatCode>
                      <c:ptCount val="2"/>
                      <c:pt idx="0">
                        <c:v>26.939764294607535</c:v>
                      </c:pt>
                      <c:pt idx="1">
                        <c:v>37.434942250725214</c:v>
                      </c:pt>
                    </c:numCache>
                  </c:numRef>
                </c:yVal>
                <c:smooth val="0"/>
                <c:extLst xmlns:c15="http://schemas.microsoft.com/office/drawing/2012/chart">
                  <c:ext xmlns:c16="http://schemas.microsoft.com/office/drawing/2014/chart" uri="{C3380CC4-5D6E-409C-BE32-E72D297353CC}">
                    <c16:uniqueId val="{0000000A-DE99-4F6A-B3E0-EB4E32ED605C}"/>
                  </c:ext>
                </c:extLst>
              </c15:ser>
            </c15:filteredScatterSeries>
            <c15:filteredScatterSeries>
              <c15:ser>
                <c:idx val="9"/>
                <c:order val="9"/>
                <c:tx>
                  <c:strRef>
                    <c:extLst xmlns:c15="http://schemas.microsoft.com/office/drawing/2012/chart">
                      <c:ext xmlns:c15="http://schemas.microsoft.com/office/drawing/2012/chart" uri="{02D57815-91ED-43cb-92C2-25804820EDAC}">
                        <c15:formulaRef>
                          <c15:sqref>Backend!$D$12</c15:sqref>
                        </c15:formulaRef>
                      </c:ext>
                    </c:extLst>
                    <c:strCache>
                      <c:ptCount val="1"/>
                      <c:pt idx="0">
                        <c:v>Proximal Phalanges (T)</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Backend!$E$12:$F$12</c15:sqref>
                        </c15:formulaRef>
                      </c:ext>
                    </c:extLst>
                    <c:numCache>
                      <c:formatCode>General</c:formatCode>
                      <c:ptCount val="2"/>
                      <c:pt idx="0">
                        <c:v>0.43181818181818182</c:v>
                      </c:pt>
                      <c:pt idx="1">
                        <c:v>0.43181818181818182</c:v>
                      </c:pt>
                    </c:numCache>
                  </c:numRef>
                </c:xVal>
                <c:yVal>
                  <c:numRef>
                    <c:extLst xmlns:c15="http://schemas.microsoft.com/office/drawing/2012/chart">
                      <c:ext xmlns:c15="http://schemas.microsoft.com/office/drawing/2012/chart" uri="{02D57815-91ED-43cb-92C2-25804820EDAC}">
                        <c15:formulaRef>
                          <c15:sqref>Backend!$G$12:$H$12</c15:sqref>
                        </c15:formulaRef>
                      </c:ext>
                    </c:extLst>
                    <c:numCache>
                      <c:formatCode>General</c:formatCode>
                      <c:ptCount val="2"/>
                      <c:pt idx="0">
                        <c:v>37.434942250725214</c:v>
                      </c:pt>
                      <c:pt idx="1">
                        <c:v>37.434942250725214</c:v>
                      </c:pt>
                    </c:numCache>
                  </c:numRef>
                </c:yVal>
                <c:smooth val="0"/>
                <c:extLst xmlns:c15="http://schemas.microsoft.com/office/drawing/2012/chart">
                  <c:ext xmlns:c16="http://schemas.microsoft.com/office/drawing/2014/chart" uri="{C3380CC4-5D6E-409C-BE32-E72D297353CC}">
                    <c16:uniqueId val="{0000000B-DE99-4F6A-B3E0-EB4E32ED605C}"/>
                  </c:ext>
                </c:extLst>
              </c15:ser>
            </c15:filteredScatterSeries>
            <c15:filteredScatterSeries>
              <c15:ser>
                <c:idx val="10"/>
                <c:order val="10"/>
                <c:tx>
                  <c:strRef>
                    <c:extLst xmlns:c15="http://schemas.microsoft.com/office/drawing/2012/chart">
                      <c:ext xmlns:c15="http://schemas.microsoft.com/office/drawing/2012/chart" uri="{02D57815-91ED-43cb-92C2-25804820EDAC}">
                        <c15:formulaRef>
                          <c15:sqref>Backend!$D$13</c15:sqref>
                        </c15:formulaRef>
                      </c:ext>
                    </c:extLst>
                    <c:strCache>
                      <c:ptCount val="1"/>
                      <c:pt idx="0">
                        <c:v>Metacarpals (T)</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extLst xmlns:c15="http://schemas.microsoft.com/office/drawing/2012/chart">
                      <c:ext xmlns:c15="http://schemas.microsoft.com/office/drawing/2012/chart" uri="{02D57815-91ED-43cb-92C2-25804820EDAC}">
                        <c15:formulaRef>
                          <c15:sqref>Backend!$E$13:$F$13</c15:sqref>
                        </c15:formulaRef>
                      </c:ext>
                    </c:extLst>
                    <c:numCache>
                      <c:formatCode>General</c:formatCode>
                      <c:ptCount val="2"/>
                      <c:pt idx="0">
                        <c:v>0.43181818181818182</c:v>
                      </c:pt>
                      <c:pt idx="1">
                        <c:v>0.25</c:v>
                      </c:pt>
                    </c:numCache>
                  </c:numRef>
                </c:xVal>
                <c:yVal>
                  <c:numRef>
                    <c:extLst xmlns:c15="http://schemas.microsoft.com/office/drawing/2012/chart">
                      <c:ext xmlns:c15="http://schemas.microsoft.com/office/drawing/2012/chart" uri="{02D57815-91ED-43cb-92C2-25804820EDAC}">
                        <c15:formulaRef>
                          <c15:sqref>Backend!$G$13:$H$13</c15:sqref>
                        </c15:formulaRef>
                      </c:ext>
                    </c:extLst>
                    <c:numCache>
                      <c:formatCode>General</c:formatCode>
                      <c:ptCount val="2"/>
                      <c:pt idx="0">
                        <c:v>37.434942250725214</c:v>
                      </c:pt>
                      <c:pt idx="1">
                        <c:v>43.432186797078174</c:v>
                      </c:pt>
                    </c:numCache>
                  </c:numRef>
                </c:yVal>
                <c:smooth val="0"/>
                <c:extLst xmlns:c15="http://schemas.microsoft.com/office/drawing/2012/chart">
                  <c:ext xmlns:c16="http://schemas.microsoft.com/office/drawing/2014/chart" uri="{C3380CC4-5D6E-409C-BE32-E72D297353CC}">
                    <c16:uniqueId val="{0000000C-DE99-4F6A-B3E0-EB4E32ED605C}"/>
                  </c:ext>
                </c:extLst>
              </c15:ser>
            </c15:filteredScatterSeries>
            <c15:filteredScatterSeries>
              <c15:ser>
                <c:idx val="15"/>
                <c:order val="15"/>
                <c:tx>
                  <c:strRef>
                    <c:extLst xmlns:c15="http://schemas.microsoft.com/office/drawing/2012/chart">
                      <c:ext xmlns:c15="http://schemas.microsoft.com/office/drawing/2012/chart" uri="{02D57815-91ED-43cb-92C2-25804820EDAC}">
                        <c15:formulaRef>
                          <c15:sqref>Backend!$D$18</c15:sqref>
                        </c15:formulaRef>
                      </c:ext>
                    </c:extLst>
                    <c:strCache>
                      <c:ptCount val="1"/>
                      <c:pt idx="0">
                        <c:v>Distal Phalanges (M)</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Backend!$E$18:$F$18</c15:sqref>
                        </c15:formulaRef>
                      </c:ext>
                    </c:extLst>
                    <c:numCache>
                      <c:formatCode>General</c:formatCode>
                      <c:ptCount val="2"/>
                      <c:pt idx="0">
                        <c:v>2.7</c:v>
                      </c:pt>
                      <c:pt idx="1">
                        <c:v>2.75</c:v>
                      </c:pt>
                    </c:numCache>
                  </c:numRef>
                </c:xVal>
                <c:yVal>
                  <c:numRef>
                    <c:extLst xmlns:c15="http://schemas.microsoft.com/office/drawing/2012/chart">
                      <c:ext xmlns:c15="http://schemas.microsoft.com/office/drawing/2012/chart" uri="{02D57815-91ED-43cb-92C2-25804820EDAC}">
                        <c15:formulaRef>
                          <c15:sqref>Backend!$G$18:$H$18</c15:sqref>
                        </c15:formulaRef>
                      </c:ext>
                    </c:extLst>
                    <c:numCache>
                      <c:formatCode>General</c:formatCode>
                      <c:ptCount val="2"/>
                      <c:pt idx="0">
                        <c:v>16.2</c:v>
                      </c:pt>
                      <c:pt idx="1">
                        <c:v>39.199945652109704</c:v>
                      </c:pt>
                    </c:numCache>
                  </c:numRef>
                </c:yVal>
                <c:smooth val="0"/>
                <c:extLst xmlns:c15="http://schemas.microsoft.com/office/drawing/2012/chart">
                  <c:ext xmlns:c16="http://schemas.microsoft.com/office/drawing/2014/chart" uri="{C3380CC4-5D6E-409C-BE32-E72D297353CC}">
                    <c16:uniqueId val="{00000011-DE99-4F6A-B3E0-EB4E32ED605C}"/>
                  </c:ext>
                </c:extLst>
              </c15:ser>
            </c15:filteredScatterSeries>
            <c15:filteredScatterSeries>
              <c15:ser>
                <c:idx val="16"/>
                <c:order val="16"/>
                <c:tx>
                  <c:strRef>
                    <c:extLst xmlns:c15="http://schemas.microsoft.com/office/drawing/2012/chart">
                      <c:ext xmlns:c15="http://schemas.microsoft.com/office/drawing/2012/chart" uri="{02D57815-91ED-43cb-92C2-25804820EDAC}">
                        <c15:formulaRef>
                          <c15:sqref>Backend!$D$19</c15:sqref>
                        </c15:formulaRef>
                      </c:ext>
                    </c:extLst>
                    <c:strCache>
                      <c:ptCount val="1"/>
                      <c:pt idx="0">
                        <c:v>Middle Phalanges (M)</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Backend!$E$19:$F$19</c15:sqref>
                        </c15:formulaRef>
                      </c:ext>
                    </c:extLst>
                    <c:numCache>
                      <c:formatCode>General</c:formatCode>
                      <c:ptCount val="2"/>
                      <c:pt idx="0">
                        <c:v>2.75</c:v>
                      </c:pt>
                      <c:pt idx="1">
                        <c:v>2.8015151515151517</c:v>
                      </c:pt>
                    </c:numCache>
                  </c:numRef>
                </c:xVal>
                <c:yVal>
                  <c:numRef>
                    <c:extLst xmlns:c15="http://schemas.microsoft.com/office/drawing/2012/chart">
                      <c:ext xmlns:c15="http://schemas.microsoft.com/office/drawing/2012/chart" uri="{02D57815-91ED-43cb-92C2-25804820EDAC}">
                        <c15:formulaRef>
                          <c15:sqref>Backend!$G$19:$H$19</c15:sqref>
                        </c15:formulaRef>
                      </c:ext>
                    </c:extLst>
                    <c:numCache>
                      <c:formatCode>General</c:formatCode>
                      <c:ptCount val="2"/>
                      <c:pt idx="0">
                        <c:v>39.199945652109704</c:v>
                      </c:pt>
                      <c:pt idx="1">
                        <c:v>56.19986759867065</c:v>
                      </c:pt>
                    </c:numCache>
                  </c:numRef>
                </c:yVal>
                <c:smooth val="0"/>
                <c:extLst xmlns:c15="http://schemas.microsoft.com/office/drawing/2012/chart">
                  <c:ext xmlns:c16="http://schemas.microsoft.com/office/drawing/2014/chart" uri="{C3380CC4-5D6E-409C-BE32-E72D297353CC}">
                    <c16:uniqueId val="{00000012-DE99-4F6A-B3E0-EB4E32ED605C}"/>
                  </c:ext>
                </c:extLst>
              </c15:ser>
            </c15:filteredScatterSeries>
            <c15:filteredScatterSeries>
              <c15:ser>
                <c:idx val="17"/>
                <c:order val="17"/>
                <c:tx>
                  <c:strRef>
                    <c:extLst xmlns:c15="http://schemas.microsoft.com/office/drawing/2012/chart">
                      <c:ext xmlns:c15="http://schemas.microsoft.com/office/drawing/2012/chart" uri="{02D57815-91ED-43cb-92C2-25804820EDAC}">
                        <c15:formulaRef>
                          <c15:sqref>Backend!$D$20</c15:sqref>
                        </c15:formulaRef>
                      </c:ext>
                    </c:extLst>
                    <c:strCache>
                      <c:ptCount val="1"/>
                      <c:pt idx="0">
                        <c:v>Proximal Phalanges (M)</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Backend!$E$20:$F$20</c15:sqref>
                        </c15:formulaRef>
                      </c:ext>
                    </c:extLst>
                    <c:numCache>
                      <c:formatCode>General</c:formatCode>
                      <c:ptCount val="2"/>
                      <c:pt idx="0">
                        <c:v>2.8015151515151517</c:v>
                      </c:pt>
                      <c:pt idx="1">
                        <c:v>2.834848484848485</c:v>
                      </c:pt>
                    </c:numCache>
                  </c:numRef>
                </c:xVal>
                <c:yVal>
                  <c:numRef>
                    <c:extLst xmlns:c15="http://schemas.microsoft.com/office/drawing/2012/chart">
                      <c:ext xmlns:c15="http://schemas.microsoft.com/office/drawing/2012/chart" uri="{02D57815-91ED-43cb-92C2-25804820EDAC}">
                        <c15:formulaRef>
                          <c15:sqref>Backend!$G$20:$H$20</c15:sqref>
                        </c15:formulaRef>
                      </c:ext>
                    </c:extLst>
                    <c:numCache>
                      <c:formatCode>General</c:formatCode>
                      <c:ptCount val="2"/>
                      <c:pt idx="0">
                        <c:v>56.19986759867065</c:v>
                      </c:pt>
                      <c:pt idx="1">
                        <c:v>67.199817093504208</c:v>
                      </c:pt>
                    </c:numCache>
                  </c:numRef>
                </c:yVal>
                <c:smooth val="0"/>
                <c:extLst xmlns:c15="http://schemas.microsoft.com/office/drawing/2012/chart">
                  <c:ext xmlns:c16="http://schemas.microsoft.com/office/drawing/2014/chart" uri="{C3380CC4-5D6E-409C-BE32-E72D297353CC}">
                    <c16:uniqueId val="{00000013-DE99-4F6A-B3E0-EB4E32ED605C}"/>
                  </c:ext>
                </c:extLst>
              </c15:ser>
            </c15:filteredScatterSeries>
            <c15:filteredScatterSeries>
              <c15:ser>
                <c:idx val="18"/>
                <c:order val="18"/>
                <c:tx>
                  <c:strRef>
                    <c:extLst xmlns:c15="http://schemas.microsoft.com/office/drawing/2012/chart">
                      <c:ext xmlns:c15="http://schemas.microsoft.com/office/drawing/2012/chart" uri="{02D57815-91ED-43cb-92C2-25804820EDAC}">
                        <c15:formulaRef>
                          <c15:sqref>Backend!$D$21</c15:sqref>
                        </c15:formulaRef>
                      </c:ext>
                    </c:extLst>
                    <c:strCache>
                      <c:ptCount val="1"/>
                      <c:pt idx="0">
                        <c:v>Metacarpals (M)</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extLst xmlns:c15="http://schemas.microsoft.com/office/drawing/2012/chart">
                      <c:ext xmlns:c15="http://schemas.microsoft.com/office/drawing/2012/chart" uri="{02D57815-91ED-43cb-92C2-25804820EDAC}">
                        <c15:formulaRef>
                          <c15:sqref>Backend!$E$21:$F$21</c15:sqref>
                        </c15:formulaRef>
                      </c:ext>
                    </c:extLst>
                    <c:numCache>
                      <c:formatCode>General</c:formatCode>
                      <c:ptCount val="2"/>
                      <c:pt idx="0">
                        <c:v>2.834848484848485</c:v>
                      </c:pt>
                      <c:pt idx="1">
                        <c:v>2.85</c:v>
                      </c:pt>
                    </c:numCache>
                  </c:numRef>
                </c:xVal>
                <c:yVal>
                  <c:numRef>
                    <c:extLst xmlns:c15="http://schemas.microsoft.com/office/drawing/2012/chart">
                      <c:ext xmlns:c15="http://schemas.microsoft.com/office/drawing/2012/chart" uri="{02D57815-91ED-43cb-92C2-25804820EDAC}">
                        <c15:formulaRef>
                          <c15:sqref>Backend!$G$21:$H$21</c15:sqref>
                        </c15:formulaRef>
                      </c:ext>
                    </c:extLst>
                    <c:numCache>
                      <c:formatCode>General</c:formatCode>
                      <c:ptCount val="2"/>
                      <c:pt idx="0">
                        <c:v>67.199817093504208</c:v>
                      </c:pt>
                      <c:pt idx="1">
                        <c:v>72.199794136610365</c:v>
                      </c:pt>
                    </c:numCache>
                  </c:numRef>
                </c:yVal>
                <c:smooth val="0"/>
                <c:extLst xmlns:c15="http://schemas.microsoft.com/office/drawing/2012/chart">
                  <c:ext xmlns:c16="http://schemas.microsoft.com/office/drawing/2014/chart" uri="{C3380CC4-5D6E-409C-BE32-E72D297353CC}">
                    <c16:uniqueId val="{00000014-DE99-4F6A-B3E0-EB4E32ED605C}"/>
                  </c:ext>
                </c:extLst>
              </c15:ser>
            </c15:filteredScatterSeries>
            <c15:filteredScatterSeries>
              <c15:ser>
                <c:idx val="19"/>
                <c:order val="19"/>
                <c:tx>
                  <c:strRef>
                    <c:extLst xmlns:c15="http://schemas.microsoft.com/office/drawing/2012/chart">
                      <c:ext xmlns:c15="http://schemas.microsoft.com/office/drawing/2012/chart" uri="{02D57815-91ED-43cb-92C2-25804820EDAC}">
                        <c15:formulaRef>
                          <c15:sqref>Backend!$D$22</c15:sqref>
                        </c15:formulaRef>
                      </c:ext>
                    </c:extLst>
                    <c:strCache>
                      <c:ptCount val="1"/>
                      <c:pt idx="0">
                        <c:v>Distal Phalanges (R)</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Backend!$E$22:$F$22</c15:sqref>
                        </c15:formulaRef>
                      </c:ext>
                    </c:extLst>
                    <c:numCache>
                      <c:formatCode>General</c:formatCode>
                      <c:ptCount val="2"/>
                      <c:pt idx="0">
                        <c:v>3.1</c:v>
                      </c:pt>
                      <c:pt idx="1">
                        <c:v>3.55</c:v>
                      </c:pt>
                    </c:numCache>
                  </c:numRef>
                </c:xVal>
                <c:yVal>
                  <c:numRef>
                    <c:extLst xmlns:c15="http://schemas.microsoft.com/office/drawing/2012/chart">
                      <c:ext xmlns:c15="http://schemas.microsoft.com/office/drawing/2012/chart" uri="{02D57815-91ED-43cb-92C2-25804820EDAC}">
                        <c15:formulaRef>
                          <c15:sqref>Backend!$G$22:$H$22</c15:sqref>
                        </c15:formulaRef>
                      </c:ext>
                    </c:extLst>
                    <c:numCache>
                      <c:formatCode>General</c:formatCode>
                      <c:ptCount val="2"/>
                      <c:pt idx="0">
                        <c:v>16.3</c:v>
                      </c:pt>
                      <c:pt idx="1">
                        <c:v>36.294936859115111</c:v>
                      </c:pt>
                    </c:numCache>
                  </c:numRef>
                </c:yVal>
                <c:smooth val="0"/>
                <c:extLst xmlns:c15="http://schemas.microsoft.com/office/drawing/2012/chart">
                  <c:ext xmlns:c16="http://schemas.microsoft.com/office/drawing/2014/chart" uri="{C3380CC4-5D6E-409C-BE32-E72D297353CC}">
                    <c16:uniqueId val="{00000015-DE99-4F6A-B3E0-EB4E32ED605C}"/>
                  </c:ext>
                </c:extLst>
              </c15:ser>
            </c15:filteredScatterSeries>
            <c15:filteredScatterSeries>
              <c15:ser>
                <c:idx val="20"/>
                <c:order val="20"/>
                <c:tx>
                  <c:strRef>
                    <c:extLst xmlns:c15="http://schemas.microsoft.com/office/drawing/2012/chart">
                      <c:ext xmlns:c15="http://schemas.microsoft.com/office/drawing/2012/chart" uri="{02D57815-91ED-43cb-92C2-25804820EDAC}">
                        <c15:formulaRef>
                          <c15:sqref>Backend!$D$23</c15:sqref>
                        </c15:formulaRef>
                      </c:ext>
                    </c:extLst>
                    <c:strCache>
                      <c:ptCount val="1"/>
                      <c:pt idx="0">
                        <c:v>Middle Phalanges (R)</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Backend!$E$23:$F$23</c15:sqref>
                        </c15:formulaRef>
                      </c:ext>
                    </c:extLst>
                    <c:numCache>
                      <c:formatCode>General</c:formatCode>
                      <c:ptCount val="2"/>
                      <c:pt idx="0">
                        <c:v>3.55</c:v>
                      </c:pt>
                      <c:pt idx="1">
                        <c:v>3.6951612903225808</c:v>
                      </c:pt>
                    </c:numCache>
                  </c:numRef>
                </c:xVal>
                <c:yVal>
                  <c:numRef>
                    <c:extLst xmlns:c15="http://schemas.microsoft.com/office/drawing/2012/chart">
                      <c:ext xmlns:c15="http://schemas.microsoft.com/office/drawing/2012/chart" uri="{02D57815-91ED-43cb-92C2-25804820EDAC}">
                        <c15:formulaRef>
                          <c15:sqref>Backend!$G$23:$H$23</c15:sqref>
                        </c15:formulaRef>
                      </c:ext>
                    </c:extLst>
                    <c:numCache>
                      <c:formatCode>General</c:formatCode>
                      <c:ptCount val="2"/>
                      <c:pt idx="0">
                        <c:v>36.294936859115111</c:v>
                      </c:pt>
                      <c:pt idx="1">
                        <c:v>51.294234449328854</c:v>
                      </c:pt>
                    </c:numCache>
                  </c:numRef>
                </c:yVal>
                <c:smooth val="0"/>
                <c:extLst xmlns:c15="http://schemas.microsoft.com/office/drawing/2012/chart">
                  <c:ext xmlns:c16="http://schemas.microsoft.com/office/drawing/2014/chart" uri="{C3380CC4-5D6E-409C-BE32-E72D297353CC}">
                    <c16:uniqueId val="{00000016-DE99-4F6A-B3E0-EB4E32ED605C}"/>
                  </c:ext>
                </c:extLst>
              </c15:ser>
            </c15:filteredScatterSeries>
            <c15:filteredScatterSeries>
              <c15:ser>
                <c:idx val="21"/>
                <c:order val="21"/>
                <c:tx>
                  <c:strRef>
                    <c:extLst xmlns:c15="http://schemas.microsoft.com/office/drawing/2012/chart">
                      <c:ext xmlns:c15="http://schemas.microsoft.com/office/drawing/2012/chart" uri="{02D57815-91ED-43cb-92C2-25804820EDAC}">
                        <c15:formulaRef>
                          <c15:sqref>Backend!$D$24</c15:sqref>
                        </c15:formulaRef>
                      </c:ext>
                    </c:extLst>
                    <c:strCache>
                      <c:ptCount val="1"/>
                      <c:pt idx="0">
                        <c:v>Proximal Phalanges (R)</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Backend!$E$24:$F$24</c15:sqref>
                        </c15:formulaRef>
                      </c:ext>
                    </c:extLst>
                    <c:numCache>
                      <c:formatCode>General</c:formatCode>
                      <c:ptCount val="2"/>
                      <c:pt idx="0">
                        <c:v>3.6951612903225808</c:v>
                      </c:pt>
                      <c:pt idx="1">
                        <c:v>3.8016129032258066</c:v>
                      </c:pt>
                    </c:numCache>
                  </c:numRef>
                </c:xVal>
                <c:yVal>
                  <c:numRef>
                    <c:extLst xmlns:c15="http://schemas.microsoft.com/office/drawing/2012/chart">
                      <c:ext xmlns:c15="http://schemas.microsoft.com/office/drawing/2012/chart" uri="{02D57815-91ED-43cb-92C2-25804820EDAC}">
                        <c15:formulaRef>
                          <c15:sqref>Backend!$G$24:$H$24</c15:sqref>
                        </c15:formulaRef>
                      </c:ext>
                    </c:extLst>
                    <c:numCache>
                      <c:formatCode>General</c:formatCode>
                      <c:ptCount val="2"/>
                      <c:pt idx="0">
                        <c:v>51.294234449328854</c:v>
                      </c:pt>
                      <c:pt idx="1">
                        <c:v>62.293719348818932</c:v>
                      </c:pt>
                    </c:numCache>
                  </c:numRef>
                </c:yVal>
                <c:smooth val="0"/>
                <c:extLst xmlns:c15="http://schemas.microsoft.com/office/drawing/2012/chart">
                  <c:ext xmlns:c16="http://schemas.microsoft.com/office/drawing/2014/chart" uri="{C3380CC4-5D6E-409C-BE32-E72D297353CC}">
                    <c16:uniqueId val="{00000017-DE99-4F6A-B3E0-EB4E32ED605C}"/>
                  </c:ext>
                </c:extLst>
              </c15:ser>
            </c15:filteredScatterSeries>
            <c15:filteredScatterSeries>
              <c15:ser>
                <c:idx val="22"/>
                <c:order val="22"/>
                <c:tx>
                  <c:strRef>
                    <c:extLst xmlns:c15="http://schemas.microsoft.com/office/drawing/2012/chart">
                      <c:ext xmlns:c15="http://schemas.microsoft.com/office/drawing/2012/chart" uri="{02D57815-91ED-43cb-92C2-25804820EDAC}">
                        <c15:formulaRef>
                          <c15:sqref>Backend!$D$25</c15:sqref>
                        </c15:formulaRef>
                      </c:ext>
                    </c:extLst>
                    <c:strCache>
                      <c:ptCount val="1"/>
                      <c:pt idx="0">
                        <c:v>Metacarpals (R)</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extLst xmlns:c15="http://schemas.microsoft.com/office/drawing/2012/chart">
                      <c:ext xmlns:c15="http://schemas.microsoft.com/office/drawing/2012/chart" uri="{02D57815-91ED-43cb-92C2-25804820EDAC}">
                        <c15:formulaRef>
                          <c15:sqref>Backend!$E$25:$F$25</c15:sqref>
                        </c15:formulaRef>
                      </c:ext>
                    </c:extLst>
                    <c:numCache>
                      <c:formatCode>General</c:formatCode>
                      <c:ptCount val="2"/>
                      <c:pt idx="0">
                        <c:v>3.8016129032258066</c:v>
                      </c:pt>
                      <c:pt idx="1">
                        <c:v>3.85</c:v>
                      </c:pt>
                    </c:numCache>
                  </c:numRef>
                </c:xVal>
                <c:yVal>
                  <c:numRef>
                    <c:extLst xmlns:c15="http://schemas.microsoft.com/office/drawing/2012/chart">
                      <c:ext xmlns:c15="http://schemas.microsoft.com/office/drawing/2012/chart" uri="{02D57815-91ED-43cb-92C2-25804820EDAC}">
                        <c15:formulaRef>
                          <c15:sqref>Backend!$G$25:$H$25</c15:sqref>
                        </c15:formulaRef>
                      </c:ext>
                    </c:extLst>
                    <c:numCache>
                      <c:formatCode>General</c:formatCode>
                      <c:ptCount val="2"/>
                      <c:pt idx="0">
                        <c:v>62.293719348818932</c:v>
                      </c:pt>
                      <c:pt idx="1">
                        <c:v>67.293485212223516</c:v>
                      </c:pt>
                    </c:numCache>
                  </c:numRef>
                </c:yVal>
                <c:smooth val="0"/>
                <c:extLst xmlns:c15="http://schemas.microsoft.com/office/drawing/2012/chart">
                  <c:ext xmlns:c16="http://schemas.microsoft.com/office/drawing/2014/chart" uri="{C3380CC4-5D6E-409C-BE32-E72D297353CC}">
                    <c16:uniqueId val="{00000018-DE99-4F6A-B3E0-EB4E32ED605C}"/>
                  </c:ext>
                </c:extLst>
              </c15:ser>
            </c15:filteredScatterSeries>
            <c15:filteredScatterSeries>
              <c15:ser>
                <c:idx val="23"/>
                <c:order val="23"/>
                <c:tx>
                  <c:strRef>
                    <c:extLst xmlns:c15="http://schemas.microsoft.com/office/drawing/2012/chart">
                      <c:ext xmlns:c15="http://schemas.microsoft.com/office/drawing/2012/chart" uri="{02D57815-91ED-43cb-92C2-25804820EDAC}">
                        <c15:formulaRef>
                          <c15:sqref>Backend!$D$26</c15:sqref>
                        </c15:formulaRef>
                      </c:ext>
                    </c:extLst>
                    <c:strCache>
                      <c:ptCount val="1"/>
                      <c:pt idx="0">
                        <c:v>Distal Phalanges (P)</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Backend!$E$26:$F$26</c15:sqref>
                        </c15:formulaRef>
                      </c:ext>
                    </c:extLst>
                    <c:numCache>
                      <c:formatCode>General</c:formatCode>
                      <c:ptCount val="2"/>
                      <c:pt idx="0">
                        <c:v>3.45</c:v>
                      </c:pt>
                      <c:pt idx="1">
                        <c:v>4.1500000000000004</c:v>
                      </c:pt>
                    </c:numCache>
                  </c:numRef>
                </c:xVal>
                <c:yVal>
                  <c:numRef>
                    <c:extLst xmlns:c15="http://schemas.microsoft.com/office/drawing/2012/chart">
                      <c:ext xmlns:c15="http://schemas.microsoft.com/office/drawing/2012/chart" uri="{02D57815-91ED-43cb-92C2-25804820EDAC}">
                        <c15:formulaRef>
                          <c15:sqref>Backend!$G$26:$H$26</c15:sqref>
                        </c15:formulaRef>
                      </c:ext>
                    </c:extLst>
                    <c:numCache>
                      <c:formatCode>General</c:formatCode>
                      <c:ptCount val="2"/>
                      <c:pt idx="0">
                        <c:v>15</c:v>
                      </c:pt>
                      <c:pt idx="1">
                        <c:v>30.984680165708667</c:v>
                      </c:pt>
                    </c:numCache>
                  </c:numRef>
                </c:yVal>
                <c:smooth val="0"/>
                <c:extLst xmlns:c15="http://schemas.microsoft.com/office/drawing/2012/chart">
                  <c:ext xmlns:c16="http://schemas.microsoft.com/office/drawing/2014/chart" uri="{C3380CC4-5D6E-409C-BE32-E72D297353CC}">
                    <c16:uniqueId val="{00000019-DE99-4F6A-B3E0-EB4E32ED605C}"/>
                  </c:ext>
                </c:extLst>
              </c15:ser>
            </c15:filteredScatterSeries>
            <c15:filteredScatterSeries>
              <c15:ser>
                <c:idx val="24"/>
                <c:order val="24"/>
                <c:tx>
                  <c:strRef>
                    <c:extLst xmlns:c15="http://schemas.microsoft.com/office/drawing/2012/chart">
                      <c:ext xmlns:c15="http://schemas.microsoft.com/office/drawing/2012/chart" uri="{02D57815-91ED-43cb-92C2-25804820EDAC}">
                        <c15:formulaRef>
                          <c15:sqref>Backend!$D$27</c15:sqref>
                        </c15:formulaRef>
                      </c:ext>
                    </c:extLst>
                    <c:strCache>
                      <c:ptCount val="1"/>
                      <c:pt idx="0">
                        <c:v>Middle Phalanges (P)</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Backend!$E$27:$F$27</c15:sqref>
                        </c15:formulaRef>
                      </c:ext>
                    </c:extLst>
                    <c:numCache>
                      <c:formatCode>General</c:formatCode>
                      <c:ptCount val="2"/>
                      <c:pt idx="0">
                        <c:v>4.1500000000000004</c:v>
                      </c:pt>
                      <c:pt idx="1">
                        <c:v>4.45</c:v>
                      </c:pt>
                    </c:numCache>
                  </c:numRef>
                </c:xVal>
                <c:yVal>
                  <c:numRef>
                    <c:extLst xmlns:c15="http://schemas.microsoft.com/office/drawing/2012/chart">
                      <c:ext xmlns:c15="http://schemas.microsoft.com/office/drawing/2012/chart" uri="{02D57815-91ED-43cb-92C2-25804820EDAC}">
                        <c15:formulaRef>
                          <c15:sqref>Backend!$G$27:$H$27</c15:sqref>
                        </c15:formulaRef>
                      </c:ext>
                    </c:extLst>
                    <c:numCache>
                      <c:formatCode>General</c:formatCode>
                      <c:ptCount val="2"/>
                      <c:pt idx="0">
                        <c:v>30.984680165708667</c:v>
                      </c:pt>
                      <c:pt idx="1">
                        <c:v>41.980588495628481</c:v>
                      </c:pt>
                    </c:numCache>
                  </c:numRef>
                </c:yVal>
                <c:smooth val="0"/>
                <c:extLst xmlns:c15="http://schemas.microsoft.com/office/drawing/2012/chart">
                  <c:ext xmlns:c16="http://schemas.microsoft.com/office/drawing/2014/chart" uri="{C3380CC4-5D6E-409C-BE32-E72D297353CC}">
                    <c16:uniqueId val="{0000001A-DE99-4F6A-B3E0-EB4E32ED605C}"/>
                  </c:ext>
                </c:extLst>
              </c15:ser>
            </c15:filteredScatterSeries>
            <c15:filteredScatterSeries>
              <c15:ser>
                <c:idx val="25"/>
                <c:order val="25"/>
                <c:tx>
                  <c:strRef>
                    <c:extLst xmlns:c15="http://schemas.microsoft.com/office/drawing/2012/chart">
                      <c:ext xmlns:c15="http://schemas.microsoft.com/office/drawing/2012/chart" uri="{02D57815-91ED-43cb-92C2-25804820EDAC}">
                        <c15:formulaRef>
                          <c15:sqref>Backend!$D$28</c15:sqref>
                        </c15:formulaRef>
                      </c:ext>
                    </c:extLst>
                    <c:strCache>
                      <c:ptCount val="1"/>
                      <c:pt idx="0">
                        <c:v>Proximal Phalanges (P)</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extLst xmlns:c15="http://schemas.microsoft.com/office/drawing/2012/chart">
                      <c:ext xmlns:c15="http://schemas.microsoft.com/office/drawing/2012/chart" uri="{02D57815-91ED-43cb-92C2-25804820EDAC}">
                        <c15:formulaRef>
                          <c15:sqref>Backend!$E$28:$F$28</c15:sqref>
                        </c15:formulaRef>
                      </c:ext>
                    </c:extLst>
                    <c:numCache>
                      <c:formatCode>General</c:formatCode>
                      <c:ptCount val="2"/>
                      <c:pt idx="0">
                        <c:v>4.45</c:v>
                      </c:pt>
                      <c:pt idx="1">
                        <c:v>4.6409090909090907</c:v>
                      </c:pt>
                    </c:numCache>
                  </c:numRef>
                </c:xVal>
                <c:yVal>
                  <c:numRef>
                    <c:extLst xmlns:c15="http://schemas.microsoft.com/office/drawing/2012/chart">
                      <c:ext xmlns:c15="http://schemas.microsoft.com/office/drawing/2012/chart" uri="{02D57815-91ED-43cb-92C2-25804820EDAC}">
                        <c15:formulaRef>
                          <c15:sqref>Backend!$G$28:$H$28</c15:sqref>
                        </c15:formulaRef>
                      </c:ext>
                    </c:extLst>
                    <c:numCache>
                      <c:formatCode>General</c:formatCode>
                      <c:ptCount val="2"/>
                      <c:pt idx="0">
                        <c:v>41.980588495628481</c:v>
                      </c:pt>
                      <c:pt idx="1">
                        <c:v>48.977984705577455</c:v>
                      </c:pt>
                    </c:numCache>
                  </c:numRef>
                </c:yVal>
                <c:smooth val="0"/>
                <c:extLst xmlns:c15="http://schemas.microsoft.com/office/drawing/2012/chart">
                  <c:ext xmlns:c16="http://schemas.microsoft.com/office/drawing/2014/chart" uri="{C3380CC4-5D6E-409C-BE32-E72D297353CC}">
                    <c16:uniqueId val="{0000001B-DE99-4F6A-B3E0-EB4E32ED605C}"/>
                  </c:ext>
                </c:extLst>
              </c15:ser>
            </c15:filteredScatterSeries>
            <c15:filteredScatterSeries>
              <c15:ser>
                <c:idx val="26"/>
                <c:order val="26"/>
                <c:tx>
                  <c:strRef>
                    <c:extLst xmlns:c15="http://schemas.microsoft.com/office/drawing/2012/chart">
                      <c:ext xmlns:c15="http://schemas.microsoft.com/office/drawing/2012/chart" uri="{02D57815-91ED-43cb-92C2-25804820EDAC}">
                        <c15:formulaRef>
                          <c15:sqref>Backend!$D$29</c15:sqref>
                        </c15:formulaRef>
                      </c:ext>
                    </c:extLst>
                    <c:strCache>
                      <c:ptCount val="1"/>
                      <c:pt idx="0">
                        <c:v>Metacarpals (P)</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extLst xmlns:c15="http://schemas.microsoft.com/office/drawing/2012/chart">
                      <c:ext xmlns:c15="http://schemas.microsoft.com/office/drawing/2012/chart" uri="{02D57815-91ED-43cb-92C2-25804820EDAC}">
                        <c15:formulaRef>
                          <c15:sqref>Backend!$E$29:$F$29</c15:sqref>
                        </c15:formulaRef>
                      </c:ext>
                    </c:extLst>
                    <c:numCache>
                      <c:formatCode>General</c:formatCode>
                      <c:ptCount val="2"/>
                      <c:pt idx="0">
                        <c:v>4.6409090909090907</c:v>
                      </c:pt>
                      <c:pt idx="1">
                        <c:v>4.75</c:v>
                      </c:pt>
                    </c:numCache>
                  </c:numRef>
                </c:xVal>
                <c:yVal>
                  <c:numRef>
                    <c:extLst xmlns:c15="http://schemas.microsoft.com/office/drawing/2012/chart">
                      <c:ext xmlns:c15="http://schemas.microsoft.com/office/drawing/2012/chart" uri="{02D57815-91ED-43cb-92C2-25804820EDAC}">
                        <c15:formulaRef>
                          <c15:sqref>Backend!$G$29:$H$29</c15:sqref>
                        </c15:formulaRef>
                      </c:ext>
                    </c:extLst>
                    <c:numCache>
                      <c:formatCode>General</c:formatCode>
                      <c:ptCount val="2"/>
                      <c:pt idx="0">
                        <c:v>48.977984705577455</c:v>
                      </c:pt>
                      <c:pt idx="1">
                        <c:v>52.976496825548296</c:v>
                      </c:pt>
                    </c:numCache>
                  </c:numRef>
                </c:yVal>
                <c:smooth val="0"/>
                <c:extLst xmlns:c15="http://schemas.microsoft.com/office/drawing/2012/chart">
                  <c:ext xmlns:c16="http://schemas.microsoft.com/office/drawing/2014/chart" uri="{C3380CC4-5D6E-409C-BE32-E72D297353CC}">
                    <c16:uniqueId val="{0000001C-DE99-4F6A-B3E0-EB4E32ED605C}"/>
                  </c:ext>
                </c:extLst>
              </c15:ser>
            </c15:filteredScatterSeries>
          </c:ext>
        </c:extLst>
      </c:scatterChart>
      <c:valAx>
        <c:axId val="697849376"/>
        <c:scaling>
          <c:orientation val="minMax"/>
          <c:max val="5"/>
          <c:min val="0"/>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497824"/>
        <c:crosses val="autoZero"/>
        <c:crossBetween val="midCat"/>
      </c:valAx>
      <c:valAx>
        <c:axId val="618497824"/>
        <c:scaling>
          <c:orientation val="minMax"/>
          <c:max val="75"/>
          <c:min val="0"/>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8493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909670445217734E-2"/>
          <c:y val="6.0660414132590997E-2"/>
          <c:w val="0.92609032955478221"/>
          <c:h val="0.82269759511275697"/>
        </c:manualLayout>
      </c:layout>
      <c:barChart>
        <c:barDir val="col"/>
        <c:grouping val="stacked"/>
        <c:varyColors val="0"/>
        <c:ser>
          <c:idx val="0"/>
          <c:order val="0"/>
          <c:spPr>
            <a:solidFill>
              <a:schemeClr val="accent4"/>
            </a:solidFill>
            <a:ln>
              <a:noFill/>
            </a:ln>
            <a:effectLst/>
          </c:spPr>
          <c:invertIfNegative val="0"/>
          <c:cat>
            <c:strRef>
              <c:f>Backend!$AS$3:$AS$7</c:f>
              <c:strCache>
                <c:ptCount val="5"/>
                <c:pt idx="0">
                  <c:v>Thumb</c:v>
                </c:pt>
                <c:pt idx="1">
                  <c:v>Index</c:v>
                </c:pt>
                <c:pt idx="2">
                  <c:v>Middle</c:v>
                </c:pt>
                <c:pt idx="3">
                  <c:v>Ring</c:v>
                </c:pt>
                <c:pt idx="4">
                  <c:v>Pinky</c:v>
                </c:pt>
              </c:strCache>
            </c:strRef>
          </c:cat>
          <c:val>
            <c:numRef>
              <c:f>Backend!$AT$3:$AT$7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5E4-4B5A-8230-3F3AD0C7642A}"/>
            </c:ext>
          </c:extLst>
        </c:ser>
        <c:ser>
          <c:idx val="1"/>
          <c:order val="1"/>
          <c:spPr>
            <a:solidFill>
              <a:schemeClr val="bg2"/>
            </a:solidFill>
            <a:ln>
              <a:noFill/>
            </a:ln>
            <a:effectLst/>
          </c:spPr>
          <c:invertIfNegative val="0"/>
          <c:cat>
            <c:strRef>
              <c:f>Backend!$AS$3:$AS$7</c:f>
              <c:strCache>
                <c:ptCount val="5"/>
                <c:pt idx="0">
                  <c:v>Thumb</c:v>
                </c:pt>
                <c:pt idx="1">
                  <c:v>Index</c:v>
                </c:pt>
                <c:pt idx="2">
                  <c:v>Middle</c:v>
                </c:pt>
                <c:pt idx="3">
                  <c:v>Ring</c:v>
                </c:pt>
                <c:pt idx="4">
                  <c:v>Pinky</c:v>
                </c:pt>
              </c:strCache>
            </c:strRef>
          </c:cat>
          <c:val>
            <c:numRef>
              <c:f>Backend!$AU$3:$AU$7</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C5E4-4B5A-8230-3F3AD0C7642A}"/>
            </c:ext>
          </c:extLst>
        </c:ser>
        <c:dLbls>
          <c:showLegendKey val="0"/>
          <c:showVal val="0"/>
          <c:showCatName val="0"/>
          <c:showSerName val="0"/>
          <c:showPercent val="0"/>
          <c:showBubbleSize val="0"/>
        </c:dLbls>
        <c:gapWidth val="100"/>
        <c:overlap val="100"/>
        <c:axId val="1876525039"/>
        <c:axId val="1874091215"/>
      </c:barChart>
      <c:catAx>
        <c:axId val="1876525039"/>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874091215"/>
        <c:crosses val="autoZero"/>
        <c:auto val="1"/>
        <c:lblAlgn val="ctr"/>
        <c:lblOffset val="100"/>
        <c:noMultiLvlLbl val="0"/>
      </c:catAx>
      <c:valAx>
        <c:axId val="1874091215"/>
        <c:scaling>
          <c:orientation val="minMax"/>
          <c:max val="100"/>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76525039"/>
        <c:crosses val="autoZero"/>
        <c:crossBetween val="between"/>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tx>
            <c:strRef>
              <c:f>Backend!$D$3</c:f>
              <c:strCache>
                <c:ptCount val="1"/>
                <c:pt idx="0">
                  <c:v>Radius</c:v>
                </c:pt>
              </c:strCache>
            </c:strRef>
          </c:tx>
          <c:spPr>
            <a:ln w="444500" cap="rnd">
              <a:solidFill>
                <a:schemeClr val="accent4"/>
              </a:solidFill>
              <a:round/>
            </a:ln>
            <a:effectLst/>
          </c:spPr>
          <c:marker>
            <c:symbol val="none"/>
          </c:marker>
          <c:xVal>
            <c:numRef>
              <c:f>Backend!$E$3:$F$3</c:f>
              <c:numCache>
                <c:formatCode>General</c:formatCode>
                <c:ptCount val="2"/>
                <c:pt idx="0">
                  <c:v>3.2</c:v>
                </c:pt>
                <c:pt idx="1">
                  <c:v>3.2</c:v>
                </c:pt>
              </c:numCache>
            </c:numRef>
          </c:xVal>
          <c:yVal>
            <c:numRef>
              <c:f>Backend!$G$3:$H$3</c:f>
              <c:numCache>
                <c:formatCode>General</c:formatCode>
                <c:ptCount val="2"/>
                <c:pt idx="0">
                  <c:v>-10</c:v>
                </c:pt>
                <c:pt idx="1">
                  <c:v>14</c:v>
                </c:pt>
              </c:numCache>
            </c:numRef>
          </c:yVal>
          <c:smooth val="0"/>
          <c:extLst>
            <c:ext xmlns:c16="http://schemas.microsoft.com/office/drawing/2014/chart" uri="{C3380CC4-5D6E-409C-BE32-E72D297353CC}">
              <c16:uniqueId val="{00000000-6CBA-41A7-B240-4223B7E7E751}"/>
            </c:ext>
          </c:extLst>
        </c:ser>
        <c:ser>
          <c:idx val="1"/>
          <c:order val="1"/>
          <c:tx>
            <c:strRef>
              <c:f>Backend!$D$4</c:f>
              <c:strCache>
                <c:ptCount val="1"/>
                <c:pt idx="0">
                  <c:v>Ulna</c:v>
                </c:pt>
              </c:strCache>
            </c:strRef>
          </c:tx>
          <c:spPr>
            <a:ln w="19050" cap="rnd">
              <a:solidFill>
                <a:schemeClr val="accent4"/>
              </a:solidFill>
              <a:round/>
            </a:ln>
            <a:effectLst/>
          </c:spPr>
          <c:marker>
            <c:symbol val="none"/>
          </c:marker>
          <c:dPt>
            <c:idx val="1"/>
            <c:marker>
              <c:symbol val="none"/>
            </c:marker>
            <c:bubble3D val="0"/>
            <c:spPr>
              <a:ln w="317500" cap="rnd">
                <a:solidFill>
                  <a:schemeClr val="accent4"/>
                </a:solidFill>
                <a:round/>
              </a:ln>
              <a:effectLst/>
            </c:spPr>
            <c:extLst>
              <c:ext xmlns:c16="http://schemas.microsoft.com/office/drawing/2014/chart" uri="{C3380CC4-5D6E-409C-BE32-E72D297353CC}">
                <c16:uniqueId val="{0000001B-6CBA-41A7-B240-4223B7E7E751}"/>
              </c:ext>
            </c:extLst>
          </c:dPt>
          <c:xVal>
            <c:numRef>
              <c:f>Backend!$E$4:$F$4</c:f>
              <c:numCache>
                <c:formatCode>General</c:formatCode>
                <c:ptCount val="2"/>
                <c:pt idx="0">
                  <c:v>2.2999999999999998</c:v>
                </c:pt>
                <c:pt idx="1">
                  <c:v>2.2999999999999998</c:v>
                </c:pt>
              </c:numCache>
            </c:numRef>
          </c:xVal>
          <c:yVal>
            <c:numRef>
              <c:f>Backend!$G$4:$H$4</c:f>
              <c:numCache>
                <c:formatCode>General</c:formatCode>
                <c:ptCount val="2"/>
                <c:pt idx="0">
                  <c:v>-10</c:v>
                </c:pt>
                <c:pt idx="1">
                  <c:v>14</c:v>
                </c:pt>
              </c:numCache>
            </c:numRef>
          </c:yVal>
          <c:smooth val="0"/>
          <c:extLst>
            <c:ext xmlns:c16="http://schemas.microsoft.com/office/drawing/2014/chart" uri="{C3380CC4-5D6E-409C-BE32-E72D297353CC}">
              <c16:uniqueId val="{00000001-6CBA-41A7-B240-4223B7E7E751}"/>
            </c:ext>
          </c:extLst>
        </c:ser>
        <c:ser>
          <c:idx val="2"/>
          <c:order val="2"/>
          <c:tx>
            <c:strRef>
              <c:f>Backend!$D$5</c:f>
              <c:strCache>
                <c:ptCount val="1"/>
                <c:pt idx="0">
                  <c:v>Carpals Proxy 1</c:v>
                </c:pt>
              </c:strCache>
            </c:strRef>
          </c:tx>
          <c:spPr>
            <a:ln w="317500" cap="rnd">
              <a:solidFill>
                <a:schemeClr val="accent4"/>
              </a:solidFill>
              <a:round/>
            </a:ln>
            <a:effectLst/>
          </c:spPr>
          <c:marker>
            <c:symbol val="none"/>
          </c:marker>
          <c:xVal>
            <c:numRef>
              <c:f>Backend!$E$5:$F$5</c:f>
              <c:numCache>
                <c:formatCode>General</c:formatCode>
                <c:ptCount val="2"/>
                <c:pt idx="0">
                  <c:v>2.15</c:v>
                </c:pt>
                <c:pt idx="1">
                  <c:v>1.9</c:v>
                </c:pt>
              </c:numCache>
            </c:numRef>
          </c:xVal>
          <c:yVal>
            <c:numRef>
              <c:f>Backend!$G$5:$H$5</c:f>
              <c:numCache>
                <c:formatCode>General</c:formatCode>
                <c:ptCount val="2"/>
                <c:pt idx="0">
                  <c:v>8</c:v>
                </c:pt>
                <c:pt idx="1">
                  <c:v>20</c:v>
                </c:pt>
              </c:numCache>
            </c:numRef>
          </c:yVal>
          <c:smooth val="0"/>
          <c:extLst>
            <c:ext xmlns:c16="http://schemas.microsoft.com/office/drawing/2014/chart" uri="{C3380CC4-5D6E-409C-BE32-E72D297353CC}">
              <c16:uniqueId val="{00000002-6CBA-41A7-B240-4223B7E7E751}"/>
            </c:ext>
          </c:extLst>
        </c:ser>
        <c:ser>
          <c:idx val="3"/>
          <c:order val="3"/>
          <c:tx>
            <c:strRef>
              <c:f>Backend!$D$6</c:f>
              <c:strCache>
                <c:ptCount val="1"/>
                <c:pt idx="0">
                  <c:v>Carpals Proxy 2</c:v>
                </c:pt>
              </c:strCache>
            </c:strRef>
          </c:tx>
          <c:spPr>
            <a:ln w="317500" cap="rnd">
              <a:solidFill>
                <a:schemeClr val="accent4"/>
              </a:solidFill>
              <a:round/>
            </a:ln>
            <a:effectLst/>
          </c:spPr>
          <c:marker>
            <c:symbol val="none"/>
          </c:marker>
          <c:xVal>
            <c:numRef>
              <c:f>Backend!$E$6:$F$6</c:f>
              <c:numCache>
                <c:formatCode>General</c:formatCode>
                <c:ptCount val="2"/>
                <c:pt idx="0">
                  <c:v>1.9</c:v>
                </c:pt>
                <c:pt idx="1">
                  <c:v>3.7</c:v>
                </c:pt>
              </c:numCache>
            </c:numRef>
          </c:xVal>
          <c:yVal>
            <c:numRef>
              <c:f>Backend!$G$6:$H$6</c:f>
              <c:numCache>
                <c:formatCode>General</c:formatCode>
                <c:ptCount val="2"/>
                <c:pt idx="0">
                  <c:v>20</c:v>
                </c:pt>
                <c:pt idx="1">
                  <c:v>20</c:v>
                </c:pt>
              </c:numCache>
            </c:numRef>
          </c:yVal>
          <c:smooth val="0"/>
          <c:extLst>
            <c:ext xmlns:c16="http://schemas.microsoft.com/office/drawing/2014/chart" uri="{C3380CC4-5D6E-409C-BE32-E72D297353CC}">
              <c16:uniqueId val="{00000003-6CBA-41A7-B240-4223B7E7E751}"/>
            </c:ext>
          </c:extLst>
        </c:ser>
        <c:ser>
          <c:idx val="4"/>
          <c:order val="4"/>
          <c:tx>
            <c:strRef>
              <c:f>Backend!$D$7</c:f>
              <c:strCache>
                <c:ptCount val="1"/>
                <c:pt idx="0">
                  <c:v>Carpals Proxy 3</c:v>
                </c:pt>
              </c:strCache>
            </c:strRef>
          </c:tx>
          <c:spPr>
            <a:ln w="317500" cap="rnd">
              <a:solidFill>
                <a:schemeClr val="accent4"/>
              </a:solidFill>
              <a:round/>
            </a:ln>
            <a:effectLst/>
          </c:spPr>
          <c:marker>
            <c:symbol val="none"/>
          </c:marker>
          <c:xVal>
            <c:numRef>
              <c:f>Backend!$E$7:$F$7</c:f>
              <c:numCache>
                <c:formatCode>General</c:formatCode>
                <c:ptCount val="2"/>
                <c:pt idx="0">
                  <c:v>3.7</c:v>
                </c:pt>
                <c:pt idx="1">
                  <c:v>3.45</c:v>
                </c:pt>
              </c:numCache>
            </c:numRef>
          </c:xVal>
          <c:yVal>
            <c:numRef>
              <c:f>Backend!$G$7:$H$7</c:f>
              <c:numCache>
                <c:formatCode>General</c:formatCode>
                <c:ptCount val="2"/>
                <c:pt idx="0">
                  <c:v>20</c:v>
                </c:pt>
                <c:pt idx="1">
                  <c:v>8</c:v>
                </c:pt>
              </c:numCache>
            </c:numRef>
          </c:yVal>
          <c:smooth val="0"/>
          <c:extLst>
            <c:ext xmlns:c16="http://schemas.microsoft.com/office/drawing/2014/chart" uri="{C3380CC4-5D6E-409C-BE32-E72D297353CC}">
              <c16:uniqueId val="{00000004-6CBA-41A7-B240-4223B7E7E751}"/>
            </c:ext>
          </c:extLst>
        </c:ser>
        <c:ser>
          <c:idx val="5"/>
          <c:order val="5"/>
          <c:tx>
            <c:strRef>
              <c:f>Backend!$D$8</c:f>
              <c:strCache>
                <c:ptCount val="1"/>
                <c:pt idx="0">
                  <c:v>Carpals Proxy 4</c:v>
                </c:pt>
              </c:strCache>
            </c:strRef>
          </c:tx>
          <c:spPr>
            <a:ln w="317500" cap="rnd">
              <a:solidFill>
                <a:schemeClr val="accent4"/>
              </a:solidFill>
              <a:round/>
            </a:ln>
            <a:effectLst/>
          </c:spPr>
          <c:marker>
            <c:symbol val="none"/>
          </c:marker>
          <c:xVal>
            <c:numRef>
              <c:f>Backend!$E$8:$F$8</c:f>
              <c:numCache>
                <c:formatCode>General</c:formatCode>
                <c:ptCount val="2"/>
                <c:pt idx="0">
                  <c:v>3.45</c:v>
                </c:pt>
                <c:pt idx="1">
                  <c:v>2.15</c:v>
                </c:pt>
              </c:numCache>
            </c:numRef>
          </c:xVal>
          <c:yVal>
            <c:numRef>
              <c:f>Backend!$G$8:$H$8</c:f>
              <c:numCache>
                <c:formatCode>General</c:formatCode>
                <c:ptCount val="2"/>
                <c:pt idx="0">
                  <c:v>8</c:v>
                </c:pt>
                <c:pt idx="1">
                  <c:v>8</c:v>
                </c:pt>
              </c:numCache>
            </c:numRef>
          </c:yVal>
          <c:smooth val="0"/>
          <c:extLst>
            <c:ext xmlns:c16="http://schemas.microsoft.com/office/drawing/2014/chart" uri="{C3380CC4-5D6E-409C-BE32-E72D297353CC}">
              <c16:uniqueId val="{00000005-6CBA-41A7-B240-4223B7E7E751}"/>
            </c:ext>
          </c:extLst>
        </c:ser>
        <c:ser>
          <c:idx val="6"/>
          <c:order val="6"/>
          <c:tx>
            <c:strRef>
              <c:f>Backend!$D$9</c:f>
              <c:strCache>
                <c:ptCount val="1"/>
                <c:pt idx="0">
                  <c:v>Carpals Proxy 5</c:v>
                </c:pt>
              </c:strCache>
            </c:strRef>
          </c:tx>
          <c:spPr>
            <a:ln w="952500" cap="rnd">
              <a:solidFill>
                <a:schemeClr val="accent4"/>
              </a:solidFill>
              <a:round/>
            </a:ln>
            <a:effectLst/>
          </c:spPr>
          <c:marker>
            <c:symbol val="none"/>
          </c:marker>
          <c:xVal>
            <c:numRef>
              <c:f>Backend!$E$9:$F$9</c:f>
              <c:numCache>
                <c:formatCode>General</c:formatCode>
                <c:ptCount val="2"/>
                <c:pt idx="0">
                  <c:v>2.6999999999999997</c:v>
                </c:pt>
                <c:pt idx="1">
                  <c:v>2.9</c:v>
                </c:pt>
              </c:numCache>
            </c:numRef>
          </c:xVal>
          <c:yVal>
            <c:numRef>
              <c:f>Backend!$G$9:$H$9</c:f>
              <c:numCache>
                <c:formatCode>General</c:formatCode>
                <c:ptCount val="2"/>
                <c:pt idx="0">
                  <c:v>14</c:v>
                </c:pt>
                <c:pt idx="1">
                  <c:v>14</c:v>
                </c:pt>
              </c:numCache>
            </c:numRef>
          </c:yVal>
          <c:smooth val="0"/>
          <c:extLst>
            <c:ext xmlns:c16="http://schemas.microsoft.com/office/drawing/2014/chart" uri="{C3380CC4-5D6E-409C-BE32-E72D297353CC}">
              <c16:uniqueId val="{00000006-6CBA-41A7-B240-4223B7E7E751}"/>
            </c:ext>
          </c:extLst>
        </c:ser>
        <c:ser>
          <c:idx val="7"/>
          <c:order val="7"/>
          <c:tx>
            <c:strRef>
              <c:f>Backend!$D$10</c:f>
              <c:strCache>
                <c:ptCount val="1"/>
                <c:pt idx="0">
                  <c:v>Distal Phalanges (T)</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Backend!$E$10:$F$10</c:f>
              <c:numCache>
                <c:formatCode>General</c:formatCode>
                <c:ptCount val="2"/>
                <c:pt idx="0">
                  <c:v>2</c:v>
                </c:pt>
                <c:pt idx="1">
                  <c:v>0.75</c:v>
                </c:pt>
              </c:numCache>
            </c:numRef>
          </c:xVal>
          <c:yVal>
            <c:numRef>
              <c:f>Backend!$G$10:$H$10</c:f>
              <c:numCache>
                <c:formatCode>General</c:formatCode>
                <c:ptCount val="2"/>
                <c:pt idx="0">
                  <c:v>14</c:v>
                </c:pt>
                <c:pt idx="1">
                  <c:v>26.939764294607535</c:v>
                </c:pt>
              </c:numCache>
            </c:numRef>
          </c:yVal>
          <c:smooth val="0"/>
          <c:extLst>
            <c:ext xmlns:c16="http://schemas.microsoft.com/office/drawing/2014/chart" uri="{C3380CC4-5D6E-409C-BE32-E72D297353CC}">
              <c16:uniqueId val="{00000007-6CBA-41A7-B240-4223B7E7E751}"/>
            </c:ext>
          </c:extLst>
        </c:ser>
        <c:ser>
          <c:idx val="8"/>
          <c:order val="8"/>
          <c:tx>
            <c:strRef>
              <c:f>Backend!$D$11</c:f>
              <c:strCache>
                <c:ptCount val="1"/>
                <c:pt idx="0">
                  <c:v>Middle Phalanges (T)</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Backend!$E$11:$F$11</c:f>
              <c:numCache>
                <c:formatCode>General</c:formatCode>
                <c:ptCount val="2"/>
                <c:pt idx="0">
                  <c:v>0.75</c:v>
                </c:pt>
                <c:pt idx="1">
                  <c:v>0.43181818181818182</c:v>
                </c:pt>
              </c:numCache>
            </c:numRef>
          </c:xVal>
          <c:yVal>
            <c:numRef>
              <c:f>Backend!$G$11:$H$11</c:f>
              <c:numCache>
                <c:formatCode>General</c:formatCode>
                <c:ptCount val="2"/>
                <c:pt idx="0">
                  <c:v>26.939764294607535</c:v>
                </c:pt>
                <c:pt idx="1">
                  <c:v>37.434942250725214</c:v>
                </c:pt>
              </c:numCache>
            </c:numRef>
          </c:yVal>
          <c:smooth val="0"/>
          <c:extLst>
            <c:ext xmlns:c16="http://schemas.microsoft.com/office/drawing/2014/chart" uri="{C3380CC4-5D6E-409C-BE32-E72D297353CC}">
              <c16:uniqueId val="{00000008-6CBA-41A7-B240-4223B7E7E751}"/>
            </c:ext>
          </c:extLst>
        </c:ser>
        <c:ser>
          <c:idx val="9"/>
          <c:order val="9"/>
          <c:tx>
            <c:strRef>
              <c:f>Backend!$D$12</c:f>
              <c:strCache>
                <c:ptCount val="1"/>
                <c:pt idx="0">
                  <c:v>Proximal Phalanges (T)</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Backend!$E$12:$F$12</c:f>
              <c:numCache>
                <c:formatCode>General</c:formatCode>
                <c:ptCount val="2"/>
                <c:pt idx="0">
                  <c:v>0.43181818181818182</c:v>
                </c:pt>
                <c:pt idx="1">
                  <c:v>0.43181818181818182</c:v>
                </c:pt>
              </c:numCache>
            </c:numRef>
          </c:xVal>
          <c:yVal>
            <c:numRef>
              <c:f>Backend!$G$12:$H$12</c:f>
              <c:numCache>
                <c:formatCode>General</c:formatCode>
                <c:ptCount val="2"/>
                <c:pt idx="0">
                  <c:v>37.434942250725214</c:v>
                </c:pt>
                <c:pt idx="1">
                  <c:v>37.434942250725214</c:v>
                </c:pt>
              </c:numCache>
            </c:numRef>
          </c:yVal>
          <c:smooth val="0"/>
          <c:extLst>
            <c:ext xmlns:c16="http://schemas.microsoft.com/office/drawing/2014/chart" uri="{C3380CC4-5D6E-409C-BE32-E72D297353CC}">
              <c16:uniqueId val="{00000009-6CBA-41A7-B240-4223B7E7E751}"/>
            </c:ext>
          </c:extLst>
        </c:ser>
        <c:ser>
          <c:idx val="10"/>
          <c:order val="10"/>
          <c:tx>
            <c:strRef>
              <c:f>Backend!$D$13</c:f>
              <c:strCache>
                <c:ptCount val="1"/>
                <c:pt idx="0">
                  <c:v>Metacarpals (T)</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Backend!$E$13:$F$13</c:f>
              <c:numCache>
                <c:formatCode>General</c:formatCode>
                <c:ptCount val="2"/>
                <c:pt idx="0">
                  <c:v>0.43181818181818182</c:v>
                </c:pt>
                <c:pt idx="1">
                  <c:v>0.25</c:v>
                </c:pt>
              </c:numCache>
            </c:numRef>
          </c:xVal>
          <c:yVal>
            <c:numRef>
              <c:f>Backend!$G$13:$H$13</c:f>
              <c:numCache>
                <c:formatCode>General</c:formatCode>
                <c:ptCount val="2"/>
                <c:pt idx="0">
                  <c:v>37.434942250725214</c:v>
                </c:pt>
                <c:pt idx="1">
                  <c:v>43.432186797078174</c:v>
                </c:pt>
              </c:numCache>
            </c:numRef>
          </c:yVal>
          <c:smooth val="0"/>
          <c:extLst>
            <c:ext xmlns:c16="http://schemas.microsoft.com/office/drawing/2014/chart" uri="{C3380CC4-5D6E-409C-BE32-E72D297353CC}">
              <c16:uniqueId val="{0000000A-6CBA-41A7-B240-4223B7E7E751}"/>
            </c:ext>
          </c:extLst>
        </c:ser>
        <c:ser>
          <c:idx val="11"/>
          <c:order val="11"/>
          <c:tx>
            <c:strRef>
              <c:f>Backend!$D$14</c:f>
              <c:strCache>
                <c:ptCount val="1"/>
                <c:pt idx="0">
                  <c:v>Distal Phalanges (I)</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Backend!$E$14:$F$14</c:f>
              <c:numCache>
                <c:formatCode>General</c:formatCode>
                <c:ptCount val="2"/>
                <c:pt idx="0">
                  <c:v>2.25</c:v>
                </c:pt>
                <c:pt idx="1">
                  <c:v>1.9</c:v>
                </c:pt>
              </c:numCache>
            </c:numRef>
          </c:xVal>
          <c:yVal>
            <c:numRef>
              <c:f>Backend!$G$14:$H$14</c:f>
              <c:numCache>
                <c:formatCode>General</c:formatCode>
                <c:ptCount val="2"/>
                <c:pt idx="0">
                  <c:v>16</c:v>
                </c:pt>
                <c:pt idx="1">
                  <c:v>38.99733680233431</c:v>
                </c:pt>
              </c:numCache>
            </c:numRef>
          </c:yVal>
          <c:smooth val="0"/>
          <c:extLst>
            <c:ext xmlns:c16="http://schemas.microsoft.com/office/drawing/2014/chart" uri="{C3380CC4-5D6E-409C-BE32-E72D297353CC}">
              <c16:uniqueId val="{0000000B-6CBA-41A7-B240-4223B7E7E751}"/>
            </c:ext>
          </c:extLst>
        </c:ser>
        <c:ser>
          <c:idx val="12"/>
          <c:order val="12"/>
          <c:tx>
            <c:strRef>
              <c:f>Backend!$D$15</c:f>
              <c:strCache>
                <c:ptCount val="1"/>
                <c:pt idx="0">
                  <c:v>Middle Phalanges (I)</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Backend!$E$15:$F$15</c:f>
              <c:numCache>
                <c:formatCode>General</c:formatCode>
                <c:ptCount val="2"/>
                <c:pt idx="0">
                  <c:v>1.9</c:v>
                </c:pt>
                <c:pt idx="1">
                  <c:v>1.8224137931034483</c:v>
                </c:pt>
              </c:numCache>
            </c:numRef>
          </c:xVal>
          <c:yVal>
            <c:numRef>
              <c:f>Backend!$G$15:$H$15</c:f>
              <c:numCache>
                <c:formatCode>General</c:formatCode>
                <c:ptCount val="2"/>
                <c:pt idx="0">
                  <c:v>38.99733680233431</c:v>
                </c:pt>
                <c:pt idx="1">
                  <c:v>53.997136147008874</c:v>
                </c:pt>
              </c:numCache>
            </c:numRef>
          </c:yVal>
          <c:smooth val="0"/>
          <c:extLst>
            <c:ext xmlns:c16="http://schemas.microsoft.com/office/drawing/2014/chart" uri="{C3380CC4-5D6E-409C-BE32-E72D297353CC}">
              <c16:uniqueId val="{0000000C-6CBA-41A7-B240-4223B7E7E751}"/>
            </c:ext>
          </c:extLst>
        </c:ser>
        <c:ser>
          <c:idx val="13"/>
          <c:order val="13"/>
          <c:tx>
            <c:strRef>
              <c:f>Backend!$D$16</c:f>
              <c:strCache>
                <c:ptCount val="1"/>
                <c:pt idx="0">
                  <c:v>Proximal Phalanges (I)</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Backend!$E$16:$F$16</c:f>
              <c:numCache>
                <c:formatCode>General</c:formatCode>
                <c:ptCount val="2"/>
                <c:pt idx="0">
                  <c:v>1.8224137931034483</c:v>
                </c:pt>
                <c:pt idx="1">
                  <c:v>1.7758620689655173</c:v>
                </c:pt>
              </c:numCache>
            </c:numRef>
          </c:xVal>
          <c:yVal>
            <c:numRef>
              <c:f>Backend!$G$16:$H$16</c:f>
              <c:numCache>
                <c:formatCode>General</c:formatCode>
                <c:ptCount val="2"/>
                <c:pt idx="0">
                  <c:v>53.997136147008874</c:v>
                </c:pt>
                <c:pt idx="1">
                  <c:v>62.997015753813614</c:v>
                </c:pt>
              </c:numCache>
            </c:numRef>
          </c:yVal>
          <c:smooth val="0"/>
          <c:extLst>
            <c:ext xmlns:c16="http://schemas.microsoft.com/office/drawing/2014/chart" uri="{C3380CC4-5D6E-409C-BE32-E72D297353CC}">
              <c16:uniqueId val="{0000000D-6CBA-41A7-B240-4223B7E7E751}"/>
            </c:ext>
          </c:extLst>
        </c:ser>
        <c:ser>
          <c:idx val="14"/>
          <c:order val="14"/>
          <c:tx>
            <c:strRef>
              <c:f>Backend!$D$17</c:f>
              <c:strCache>
                <c:ptCount val="1"/>
                <c:pt idx="0">
                  <c:v>Metacarpals (I)</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Backend!$E$17:$F$17</c:f>
              <c:numCache>
                <c:formatCode>General</c:formatCode>
                <c:ptCount val="2"/>
                <c:pt idx="0">
                  <c:v>1.7758620689655173</c:v>
                </c:pt>
                <c:pt idx="1">
                  <c:v>1.7500000000000002</c:v>
                </c:pt>
              </c:numCache>
            </c:numRef>
          </c:xVal>
          <c:yVal>
            <c:numRef>
              <c:f>Backend!$G$17:$H$17</c:f>
              <c:numCache>
                <c:formatCode>General</c:formatCode>
                <c:ptCount val="2"/>
                <c:pt idx="0">
                  <c:v>62.997015753813614</c:v>
                </c:pt>
                <c:pt idx="1">
                  <c:v>67.996948868705132</c:v>
                </c:pt>
              </c:numCache>
            </c:numRef>
          </c:yVal>
          <c:smooth val="0"/>
          <c:extLst>
            <c:ext xmlns:c16="http://schemas.microsoft.com/office/drawing/2014/chart" uri="{C3380CC4-5D6E-409C-BE32-E72D297353CC}">
              <c16:uniqueId val="{0000000E-6CBA-41A7-B240-4223B7E7E751}"/>
            </c:ext>
          </c:extLst>
        </c:ser>
        <c:ser>
          <c:idx val="15"/>
          <c:order val="15"/>
          <c:tx>
            <c:strRef>
              <c:f>Backend!$D$18</c:f>
              <c:strCache>
                <c:ptCount val="1"/>
                <c:pt idx="0">
                  <c:v>Distal Phalanges (M)</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Backend!$E$18:$F$18</c:f>
              <c:numCache>
                <c:formatCode>General</c:formatCode>
                <c:ptCount val="2"/>
                <c:pt idx="0">
                  <c:v>2.7</c:v>
                </c:pt>
                <c:pt idx="1">
                  <c:v>2.75</c:v>
                </c:pt>
              </c:numCache>
            </c:numRef>
          </c:xVal>
          <c:yVal>
            <c:numRef>
              <c:f>Backend!$G$18:$H$18</c:f>
              <c:numCache>
                <c:formatCode>General</c:formatCode>
                <c:ptCount val="2"/>
                <c:pt idx="0">
                  <c:v>16.2</c:v>
                </c:pt>
                <c:pt idx="1">
                  <c:v>39.199945652109704</c:v>
                </c:pt>
              </c:numCache>
            </c:numRef>
          </c:yVal>
          <c:smooth val="0"/>
          <c:extLst>
            <c:ext xmlns:c16="http://schemas.microsoft.com/office/drawing/2014/chart" uri="{C3380CC4-5D6E-409C-BE32-E72D297353CC}">
              <c16:uniqueId val="{0000000F-6CBA-41A7-B240-4223B7E7E751}"/>
            </c:ext>
          </c:extLst>
        </c:ser>
        <c:ser>
          <c:idx val="16"/>
          <c:order val="16"/>
          <c:tx>
            <c:strRef>
              <c:f>Backend!$D$19</c:f>
              <c:strCache>
                <c:ptCount val="1"/>
                <c:pt idx="0">
                  <c:v>Middle Phalanges (M)</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Backend!$E$19:$F$19</c:f>
              <c:numCache>
                <c:formatCode>General</c:formatCode>
                <c:ptCount val="2"/>
                <c:pt idx="0">
                  <c:v>2.75</c:v>
                </c:pt>
                <c:pt idx="1">
                  <c:v>2.8015151515151517</c:v>
                </c:pt>
              </c:numCache>
            </c:numRef>
          </c:xVal>
          <c:yVal>
            <c:numRef>
              <c:f>Backend!$G$19:$H$19</c:f>
              <c:numCache>
                <c:formatCode>General</c:formatCode>
                <c:ptCount val="2"/>
                <c:pt idx="0">
                  <c:v>39.199945652109704</c:v>
                </c:pt>
                <c:pt idx="1">
                  <c:v>56.19986759867065</c:v>
                </c:pt>
              </c:numCache>
            </c:numRef>
          </c:yVal>
          <c:smooth val="0"/>
          <c:extLst>
            <c:ext xmlns:c16="http://schemas.microsoft.com/office/drawing/2014/chart" uri="{C3380CC4-5D6E-409C-BE32-E72D297353CC}">
              <c16:uniqueId val="{00000010-6CBA-41A7-B240-4223B7E7E751}"/>
            </c:ext>
          </c:extLst>
        </c:ser>
        <c:ser>
          <c:idx val="17"/>
          <c:order val="17"/>
          <c:tx>
            <c:strRef>
              <c:f>Backend!$D$20</c:f>
              <c:strCache>
                <c:ptCount val="1"/>
                <c:pt idx="0">
                  <c:v>Proximal Phalanges (M)</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Backend!$E$20:$F$20</c:f>
              <c:numCache>
                <c:formatCode>General</c:formatCode>
                <c:ptCount val="2"/>
                <c:pt idx="0">
                  <c:v>2.8015151515151517</c:v>
                </c:pt>
                <c:pt idx="1">
                  <c:v>2.834848484848485</c:v>
                </c:pt>
              </c:numCache>
            </c:numRef>
          </c:xVal>
          <c:yVal>
            <c:numRef>
              <c:f>Backend!$G$20:$H$20</c:f>
              <c:numCache>
                <c:formatCode>General</c:formatCode>
                <c:ptCount val="2"/>
                <c:pt idx="0">
                  <c:v>56.19986759867065</c:v>
                </c:pt>
                <c:pt idx="1">
                  <c:v>67.199817093504208</c:v>
                </c:pt>
              </c:numCache>
            </c:numRef>
          </c:yVal>
          <c:smooth val="0"/>
          <c:extLst>
            <c:ext xmlns:c16="http://schemas.microsoft.com/office/drawing/2014/chart" uri="{C3380CC4-5D6E-409C-BE32-E72D297353CC}">
              <c16:uniqueId val="{00000011-6CBA-41A7-B240-4223B7E7E751}"/>
            </c:ext>
          </c:extLst>
        </c:ser>
        <c:ser>
          <c:idx val="18"/>
          <c:order val="18"/>
          <c:tx>
            <c:strRef>
              <c:f>Backend!$D$21</c:f>
              <c:strCache>
                <c:ptCount val="1"/>
                <c:pt idx="0">
                  <c:v>Metacarpals (M)</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Backend!$E$21:$F$21</c:f>
              <c:numCache>
                <c:formatCode>General</c:formatCode>
                <c:ptCount val="2"/>
                <c:pt idx="0">
                  <c:v>2.834848484848485</c:v>
                </c:pt>
                <c:pt idx="1">
                  <c:v>2.85</c:v>
                </c:pt>
              </c:numCache>
            </c:numRef>
          </c:xVal>
          <c:yVal>
            <c:numRef>
              <c:f>Backend!$G$21:$H$21</c:f>
              <c:numCache>
                <c:formatCode>General</c:formatCode>
                <c:ptCount val="2"/>
                <c:pt idx="0">
                  <c:v>67.199817093504208</c:v>
                </c:pt>
                <c:pt idx="1">
                  <c:v>72.199794136610365</c:v>
                </c:pt>
              </c:numCache>
            </c:numRef>
          </c:yVal>
          <c:smooth val="0"/>
          <c:extLst>
            <c:ext xmlns:c16="http://schemas.microsoft.com/office/drawing/2014/chart" uri="{C3380CC4-5D6E-409C-BE32-E72D297353CC}">
              <c16:uniqueId val="{00000012-6CBA-41A7-B240-4223B7E7E751}"/>
            </c:ext>
          </c:extLst>
        </c:ser>
        <c:ser>
          <c:idx val="19"/>
          <c:order val="19"/>
          <c:tx>
            <c:strRef>
              <c:f>Backend!$D$22</c:f>
              <c:strCache>
                <c:ptCount val="1"/>
                <c:pt idx="0">
                  <c:v>Distal Phalanges (R)</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Backend!$E$22:$F$22</c:f>
              <c:numCache>
                <c:formatCode>General</c:formatCode>
                <c:ptCount val="2"/>
                <c:pt idx="0">
                  <c:v>3.1</c:v>
                </c:pt>
                <c:pt idx="1">
                  <c:v>3.55</c:v>
                </c:pt>
              </c:numCache>
            </c:numRef>
          </c:xVal>
          <c:yVal>
            <c:numRef>
              <c:f>Backend!$G$22:$H$22</c:f>
              <c:numCache>
                <c:formatCode>General</c:formatCode>
                <c:ptCount val="2"/>
                <c:pt idx="0">
                  <c:v>16.3</c:v>
                </c:pt>
                <c:pt idx="1">
                  <c:v>36.294936859115111</c:v>
                </c:pt>
              </c:numCache>
            </c:numRef>
          </c:yVal>
          <c:smooth val="0"/>
          <c:extLst>
            <c:ext xmlns:c16="http://schemas.microsoft.com/office/drawing/2014/chart" uri="{C3380CC4-5D6E-409C-BE32-E72D297353CC}">
              <c16:uniqueId val="{00000013-6CBA-41A7-B240-4223B7E7E751}"/>
            </c:ext>
          </c:extLst>
        </c:ser>
        <c:ser>
          <c:idx val="20"/>
          <c:order val="20"/>
          <c:tx>
            <c:strRef>
              <c:f>Backend!$D$23</c:f>
              <c:strCache>
                <c:ptCount val="1"/>
                <c:pt idx="0">
                  <c:v>Middle Phalanges (R)</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Backend!$E$23:$F$23</c:f>
              <c:numCache>
                <c:formatCode>General</c:formatCode>
                <c:ptCount val="2"/>
                <c:pt idx="0">
                  <c:v>3.55</c:v>
                </c:pt>
                <c:pt idx="1">
                  <c:v>3.6951612903225808</c:v>
                </c:pt>
              </c:numCache>
            </c:numRef>
          </c:xVal>
          <c:yVal>
            <c:numRef>
              <c:f>Backend!$G$23:$H$23</c:f>
              <c:numCache>
                <c:formatCode>General</c:formatCode>
                <c:ptCount val="2"/>
                <c:pt idx="0">
                  <c:v>36.294936859115111</c:v>
                </c:pt>
                <c:pt idx="1">
                  <c:v>51.294234449328854</c:v>
                </c:pt>
              </c:numCache>
            </c:numRef>
          </c:yVal>
          <c:smooth val="0"/>
          <c:extLst>
            <c:ext xmlns:c16="http://schemas.microsoft.com/office/drawing/2014/chart" uri="{C3380CC4-5D6E-409C-BE32-E72D297353CC}">
              <c16:uniqueId val="{00000014-6CBA-41A7-B240-4223B7E7E751}"/>
            </c:ext>
          </c:extLst>
        </c:ser>
        <c:ser>
          <c:idx val="21"/>
          <c:order val="21"/>
          <c:tx>
            <c:strRef>
              <c:f>Backend!$D$24</c:f>
              <c:strCache>
                <c:ptCount val="1"/>
                <c:pt idx="0">
                  <c:v>Proximal Phalanges (R)</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Backend!$E$24:$F$24</c:f>
              <c:numCache>
                <c:formatCode>General</c:formatCode>
                <c:ptCount val="2"/>
                <c:pt idx="0">
                  <c:v>3.6951612903225808</c:v>
                </c:pt>
                <c:pt idx="1">
                  <c:v>3.8016129032258066</c:v>
                </c:pt>
              </c:numCache>
            </c:numRef>
          </c:xVal>
          <c:yVal>
            <c:numRef>
              <c:f>Backend!$G$24:$H$24</c:f>
              <c:numCache>
                <c:formatCode>General</c:formatCode>
                <c:ptCount val="2"/>
                <c:pt idx="0">
                  <c:v>51.294234449328854</c:v>
                </c:pt>
                <c:pt idx="1">
                  <c:v>62.293719348818932</c:v>
                </c:pt>
              </c:numCache>
            </c:numRef>
          </c:yVal>
          <c:smooth val="0"/>
          <c:extLst>
            <c:ext xmlns:c16="http://schemas.microsoft.com/office/drawing/2014/chart" uri="{C3380CC4-5D6E-409C-BE32-E72D297353CC}">
              <c16:uniqueId val="{00000015-6CBA-41A7-B240-4223B7E7E751}"/>
            </c:ext>
          </c:extLst>
        </c:ser>
        <c:ser>
          <c:idx val="22"/>
          <c:order val="22"/>
          <c:tx>
            <c:strRef>
              <c:f>Backend!$D$25</c:f>
              <c:strCache>
                <c:ptCount val="1"/>
                <c:pt idx="0">
                  <c:v>Metacarpals (R)</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Backend!$E$25:$F$25</c:f>
              <c:numCache>
                <c:formatCode>General</c:formatCode>
                <c:ptCount val="2"/>
                <c:pt idx="0">
                  <c:v>3.8016129032258066</c:v>
                </c:pt>
                <c:pt idx="1">
                  <c:v>3.85</c:v>
                </c:pt>
              </c:numCache>
            </c:numRef>
          </c:xVal>
          <c:yVal>
            <c:numRef>
              <c:f>Backend!$G$25:$H$25</c:f>
              <c:numCache>
                <c:formatCode>General</c:formatCode>
                <c:ptCount val="2"/>
                <c:pt idx="0">
                  <c:v>62.293719348818932</c:v>
                </c:pt>
                <c:pt idx="1">
                  <c:v>67.293485212223516</c:v>
                </c:pt>
              </c:numCache>
            </c:numRef>
          </c:yVal>
          <c:smooth val="0"/>
          <c:extLst>
            <c:ext xmlns:c16="http://schemas.microsoft.com/office/drawing/2014/chart" uri="{C3380CC4-5D6E-409C-BE32-E72D297353CC}">
              <c16:uniqueId val="{00000016-6CBA-41A7-B240-4223B7E7E751}"/>
            </c:ext>
          </c:extLst>
        </c:ser>
        <c:ser>
          <c:idx val="23"/>
          <c:order val="23"/>
          <c:tx>
            <c:strRef>
              <c:f>Backend!$D$26</c:f>
              <c:strCache>
                <c:ptCount val="1"/>
                <c:pt idx="0">
                  <c:v>Distal Phalanges (P)</c:v>
                </c:pt>
              </c:strCache>
            </c:strRef>
          </c:tx>
          <c:spPr>
            <a:ln w="165100" cap="rnd" cmpd="sng" algn="ctr">
              <a:solidFill>
                <a:srgbClr val="EC008C">
                  <a:lumMod val="100000"/>
                </a:srgbClr>
              </a:solidFill>
              <a:prstDash val="solid"/>
              <a:round/>
              <a:headEnd type="none" w="med" len="med"/>
              <a:tailEnd type="oval" w="sm" len="sm"/>
            </a:ln>
            <a:effectLst/>
          </c:spPr>
          <c:marker>
            <c:symbol val="none"/>
          </c:marker>
          <c:xVal>
            <c:numRef>
              <c:f>Backend!$E$26:$F$26</c:f>
              <c:numCache>
                <c:formatCode>General</c:formatCode>
                <c:ptCount val="2"/>
                <c:pt idx="0">
                  <c:v>3.45</c:v>
                </c:pt>
                <c:pt idx="1">
                  <c:v>4.1500000000000004</c:v>
                </c:pt>
              </c:numCache>
            </c:numRef>
          </c:xVal>
          <c:yVal>
            <c:numRef>
              <c:f>Backend!$G$26:$H$26</c:f>
              <c:numCache>
                <c:formatCode>General</c:formatCode>
                <c:ptCount val="2"/>
                <c:pt idx="0">
                  <c:v>15</c:v>
                </c:pt>
                <c:pt idx="1">
                  <c:v>30.984680165708667</c:v>
                </c:pt>
              </c:numCache>
            </c:numRef>
          </c:yVal>
          <c:smooth val="0"/>
          <c:extLst>
            <c:ext xmlns:c16="http://schemas.microsoft.com/office/drawing/2014/chart" uri="{C3380CC4-5D6E-409C-BE32-E72D297353CC}">
              <c16:uniqueId val="{00000017-6CBA-41A7-B240-4223B7E7E751}"/>
            </c:ext>
          </c:extLst>
        </c:ser>
        <c:ser>
          <c:idx val="24"/>
          <c:order val="24"/>
          <c:tx>
            <c:strRef>
              <c:f>Backend!$D$27</c:f>
              <c:strCache>
                <c:ptCount val="1"/>
                <c:pt idx="0">
                  <c:v>Middle Phalanges (P)</c:v>
                </c:pt>
              </c:strCache>
            </c:strRef>
          </c:tx>
          <c:spPr>
            <a:ln w="165100" cap="rnd" cmpd="sng" algn="ctr">
              <a:solidFill>
                <a:srgbClr val="AA0000">
                  <a:lumMod val="100000"/>
                </a:srgbClr>
              </a:solidFill>
              <a:prstDash val="solid"/>
              <a:round/>
              <a:headEnd type="none" w="med" len="med"/>
              <a:tailEnd type="oval" w="sm" len="sm"/>
            </a:ln>
            <a:effectLst/>
          </c:spPr>
          <c:marker>
            <c:symbol val="none"/>
          </c:marker>
          <c:xVal>
            <c:numRef>
              <c:f>Backend!$E$27:$F$27</c:f>
              <c:numCache>
                <c:formatCode>General</c:formatCode>
                <c:ptCount val="2"/>
                <c:pt idx="0">
                  <c:v>4.1500000000000004</c:v>
                </c:pt>
                <c:pt idx="1">
                  <c:v>4.45</c:v>
                </c:pt>
              </c:numCache>
            </c:numRef>
          </c:xVal>
          <c:yVal>
            <c:numRef>
              <c:f>Backend!$G$27:$H$27</c:f>
              <c:numCache>
                <c:formatCode>General</c:formatCode>
                <c:ptCount val="2"/>
                <c:pt idx="0">
                  <c:v>30.984680165708667</c:v>
                </c:pt>
                <c:pt idx="1">
                  <c:v>41.980588495628481</c:v>
                </c:pt>
              </c:numCache>
            </c:numRef>
          </c:yVal>
          <c:smooth val="0"/>
          <c:extLst>
            <c:ext xmlns:c16="http://schemas.microsoft.com/office/drawing/2014/chart" uri="{C3380CC4-5D6E-409C-BE32-E72D297353CC}">
              <c16:uniqueId val="{00000018-6CBA-41A7-B240-4223B7E7E751}"/>
            </c:ext>
          </c:extLst>
        </c:ser>
        <c:ser>
          <c:idx val="25"/>
          <c:order val="25"/>
          <c:tx>
            <c:strRef>
              <c:f>Backend!$D$28</c:f>
              <c:strCache>
                <c:ptCount val="1"/>
                <c:pt idx="0">
                  <c:v>Proximal Phalanges (P)</c:v>
                </c:pt>
              </c:strCache>
            </c:strRef>
          </c:tx>
          <c:spPr>
            <a:ln w="165100" cap="rnd" cmpd="sng" algn="ctr">
              <a:solidFill>
                <a:srgbClr val="D83B01">
                  <a:lumMod val="100000"/>
                </a:srgbClr>
              </a:solidFill>
              <a:prstDash val="solid"/>
              <a:round/>
              <a:headEnd type="none" w="med" len="med"/>
              <a:tailEnd type="oval" w="sm" len="sm"/>
            </a:ln>
            <a:effectLst/>
          </c:spPr>
          <c:marker>
            <c:symbol val="none"/>
          </c:marker>
          <c:xVal>
            <c:numRef>
              <c:f>Backend!$E$28:$F$28</c:f>
              <c:numCache>
                <c:formatCode>General</c:formatCode>
                <c:ptCount val="2"/>
                <c:pt idx="0">
                  <c:v>4.45</c:v>
                </c:pt>
                <c:pt idx="1">
                  <c:v>4.6409090909090907</c:v>
                </c:pt>
              </c:numCache>
            </c:numRef>
          </c:xVal>
          <c:yVal>
            <c:numRef>
              <c:f>Backend!$G$28:$H$28</c:f>
              <c:numCache>
                <c:formatCode>General</c:formatCode>
                <c:ptCount val="2"/>
                <c:pt idx="0">
                  <c:v>41.980588495628481</c:v>
                </c:pt>
                <c:pt idx="1">
                  <c:v>48.977984705577455</c:v>
                </c:pt>
              </c:numCache>
            </c:numRef>
          </c:yVal>
          <c:smooth val="0"/>
          <c:extLst>
            <c:ext xmlns:c16="http://schemas.microsoft.com/office/drawing/2014/chart" uri="{C3380CC4-5D6E-409C-BE32-E72D297353CC}">
              <c16:uniqueId val="{00000019-6CBA-41A7-B240-4223B7E7E751}"/>
            </c:ext>
          </c:extLst>
        </c:ser>
        <c:ser>
          <c:idx val="26"/>
          <c:order val="26"/>
          <c:tx>
            <c:strRef>
              <c:f>Backend!$D$29</c:f>
              <c:strCache>
                <c:ptCount val="1"/>
                <c:pt idx="0">
                  <c:v>Metacarpals (P)</c:v>
                </c:pt>
              </c:strCache>
            </c:strRef>
          </c:tx>
          <c:spPr>
            <a:ln w="165100" cap="rnd" cmpd="sng" algn="ctr">
              <a:solidFill>
                <a:srgbClr val="FFB900">
                  <a:lumMod val="100000"/>
                </a:srgbClr>
              </a:solidFill>
              <a:prstDash val="solid"/>
              <a:round/>
              <a:headEnd type="none" w="med" len="med"/>
              <a:tailEnd type="none" w="sm" len="sm"/>
            </a:ln>
            <a:effectLst/>
          </c:spPr>
          <c:marker>
            <c:symbol val="none"/>
          </c:marker>
          <c:xVal>
            <c:numRef>
              <c:f>Backend!$E$29:$F$29</c:f>
              <c:numCache>
                <c:formatCode>General</c:formatCode>
                <c:ptCount val="2"/>
                <c:pt idx="0">
                  <c:v>4.6409090909090907</c:v>
                </c:pt>
                <c:pt idx="1">
                  <c:v>4.75</c:v>
                </c:pt>
              </c:numCache>
            </c:numRef>
          </c:xVal>
          <c:yVal>
            <c:numRef>
              <c:f>Backend!$G$29:$H$29</c:f>
              <c:numCache>
                <c:formatCode>General</c:formatCode>
                <c:ptCount val="2"/>
                <c:pt idx="0">
                  <c:v>48.977984705577455</c:v>
                </c:pt>
                <c:pt idx="1">
                  <c:v>52.976496825548296</c:v>
                </c:pt>
              </c:numCache>
            </c:numRef>
          </c:yVal>
          <c:smooth val="0"/>
          <c:extLst>
            <c:ext xmlns:c16="http://schemas.microsoft.com/office/drawing/2014/chart" uri="{C3380CC4-5D6E-409C-BE32-E72D297353CC}">
              <c16:uniqueId val="{0000001A-6CBA-41A7-B240-4223B7E7E751}"/>
            </c:ext>
          </c:extLst>
        </c:ser>
        <c:dLbls>
          <c:showLegendKey val="0"/>
          <c:showVal val="0"/>
          <c:showCatName val="0"/>
          <c:showSerName val="0"/>
          <c:showPercent val="0"/>
          <c:showBubbleSize val="0"/>
        </c:dLbls>
        <c:axId val="697849376"/>
        <c:axId val="618497824"/>
      </c:scatterChart>
      <c:valAx>
        <c:axId val="697849376"/>
        <c:scaling>
          <c:orientation val="minMax"/>
          <c:max val="5"/>
          <c:min val="0"/>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8497824"/>
        <c:crosses val="autoZero"/>
        <c:crossBetween val="midCat"/>
      </c:valAx>
      <c:valAx>
        <c:axId val="618497824"/>
        <c:scaling>
          <c:orientation val="minMax"/>
          <c:max val="75"/>
          <c:min val="0"/>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8493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909670445217734E-2"/>
          <c:y val="6.0660414132590997E-2"/>
          <c:w val="0.92609032955478221"/>
          <c:h val="0.82269759511275697"/>
        </c:manualLayout>
      </c:layout>
      <c:barChart>
        <c:barDir val="col"/>
        <c:grouping val="stacked"/>
        <c:varyColors val="0"/>
        <c:ser>
          <c:idx val="0"/>
          <c:order val="0"/>
          <c:spPr>
            <a:solidFill>
              <a:schemeClr val="accent4"/>
            </a:solidFill>
            <a:ln>
              <a:noFill/>
            </a:ln>
            <a:effectLst/>
          </c:spPr>
          <c:invertIfNegative val="0"/>
          <c:cat>
            <c:strRef>
              <c:f>Backend!$AS$3:$AS$7</c:f>
              <c:strCache>
                <c:ptCount val="5"/>
                <c:pt idx="0">
                  <c:v>Thumb</c:v>
                </c:pt>
                <c:pt idx="1">
                  <c:v>Index</c:v>
                </c:pt>
                <c:pt idx="2">
                  <c:v>Middle</c:v>
                </c:pt>
                <c:pt idx="3">
                  <c:v>Ring</c:v>
                </c:pt>
                <c:pt idx="4">
                  <c:v>Pinky</c:v>
                </c:pt>
              </c:strCache>
            </c:strRef>
          </c:cat>
          <c:val>
            <c:numRef>
              <c:f>Backend!$AT$3:$AT$7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1EB4-44B4-A139-1AAE911FD9A9}"/>
            </c:ext>
          </c:extLst>
        </c:ser>
        <c:ser>
          <c:idx val="1"/>
          <c:order val="1"/>
          <c:spPr>
            <a:solidFill>
              <a:schemeClr val="bg2"/>
            </a:solidFill>
            <a:ln>
              <a:noFill/>
            </a:ln>
            <a:effectLst/>
          </c:spPr>
          <c:invertIfNegative val="0"/>
          <c:cat>
            <c:strRef>
              <c:f>Backend!$AS$3:$AS$7</c:f>
              <c:strCache>
                <c:ptCount val="5"/>
                <c:pt idx="0">
                  <c:v>Thumb</c:v>
                </c:pt>
                <c:pt idx="1">
                  <c:v>Index</c:v>
                </c:pt>
                <c:pt idx="2">
                  <c:v>Middle</c:v>
                </c:pt>
                <c:pt idx="3">
                  <c:v>Ring</c:v>
                </c:pt>
                <c:pt idx="4">
                  <c:v>Pinky</c:v>
                </c:pt>
              </c:strCache>
            </c:strRef>
          </c:cat>
          <c:val>
            <c:numRef>
              <c:f>Backend!$AU$3:$AU$7</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1EB4-44B4-A139-1AAE911FD9A9}"/>
            </c:ext>
          </c:extLst>
        </c:ser>
        <c:dLbls>
          <c:showLegendKey val="0"/>
          <c:showVal val="0"/>
          <c:showCatName val="0"/>
          <c:showSerName val="0"/>
          <c:showPercent val="0"/>
          <c:showBubbleSize val="0"/>
        </c:dLbls>
        <c:gapWidth val="100"/>
        <c:overlap val="100"/>
        <c:axId val="1876525039"/>
        <c:axId val="1874091215"/>
      </c:barChart>
      <c:catAx>
        <c:axId val="1876525039"/>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874091215"/>
        <c:crosses val="autoZero"/>
        <c:auto val="1"/>
        <c:lblAlgn val="ctr"/>
        <c:lblOffset val="100"/>
        <c:noMultiLvlLbl val="0"/>
      </c:catAx>
      <c:valAx>
        <c:axId val="1874091215"/>
        <c:scaling>
          <c:orientation val="minMax"/>
          <c:max val="100"/>
        </c:scaling>
        <c:delete val="0"/>
        <c:axPos val="l"/>
        <c:majorGridlines>
          <c:spPr>
            <a:ln w="9525" cap="flat" cmpd="sng" algn="ctr">
              <a:noFill/>
              <a:round/>
            </a:ln>
            <a:effectLst/>
          </c:spPr>
        </c:majorGridlines>
        <c:numFmt formatCode="General"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876525039"/>
        <c:crosses val="autoZero"/>
        <c:crossBetween val="between"/>
        <c:majorUnit val="2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11"/>
          <c:order val="0"/>
          <c:tx>
            <c:strRef>
              <c:f>Backend_RPS!$J$3</c:f>
              <c:strCache>
                <c:ptCount val="1"/>
                <c:pt idx="0">
                  <c:v>Radius</c:v>
                </c:pt>
              </c:strCache>
            </c:strRef>
          </c:tx>
          <c:spPr>
            <a:ln w="355600" cap="rnd">
              <a:solidFill>
                <a:schemeClr val="accent4"/>
              </a:solidFill>
              <a:round/>
              <a:tailEnd type="none" w="sm" len="sm"/>
            </a:ln>
            <a:effectLst/>
          </c:spPr>
          <c:marker>
            <c:symbol val="none"/>
          </c:marker>
          <c:xVal>
            <c:numRef>
              <c:f>Backend_RPS!$W$3:$X$3</c:f>
              <c:numCache>
                <c:formatCode>General</c:formatCode>
                <c:ptCount val="2"/>
                <c:pt idx="0">
                  <c:v>-10</c:v>
                </c:pt>
                <c:pt idx="1">
                  <c:v>14</c:v>
                </c:pt>
              </c:numCache>
            </c:numRef>
          </c:xVal>
          <c:yVal>
            <c:numRef>
              <c:f>Backend_RPS!$Y$3:$Z$3</c:f>
              <c:numCache>
                <c:formatCode>General</c:formatCode>
                <c:ptCount val="2"/>
                <c:pt idx="0">
                  <c:v>1.7999999999999998</c:v>
                </c:pt>
                <c:pt idx="1">
                  <c:v>1.7999999999999998</c:v>
                </c:pt>
              </c:numCache>
            </c:numRef>
          </c:yVal>
          <c:smooth val="0"/>
          <c:extLst>
            <c:ext xmlns:c16="http://schemas.microsoft.com/office/drawing/2014/chart" uri="{C3380CC4-5D6E-409C-BE32-E72D297353CC}">
              <c16:uniqueId val="{00000000-5010-482F-BF45-65020AEAD241}"/>
            </c:ext>
          </c:extLst>
        </c:ser>
        <c:ser>
          <c:idx val="12"/>
          <c:order val="1"/>
          <c:tx>
            <c:strRef>
              <c:f>Backend_RPS!$J$4</c:f>
              <c:strCache>
                <c:ptCount val="1"/>
                <c:pt idx="0">
                  <c:v>Ulna</c:v>
                </c:pt>
              </c:strCache>
            </c:strRef>
          </c:tx>
          <c:spPr>
            <a:ln w="254000" cap="rnd">
              <a:solidFill>
                <a:schemeClr val="accent4"/>
              </a:solidFill>
              <a:round/>
              <a:tailEnd type="none" w="sm" len="sm"/>
            </a:ln>
            <a:effectLst/>
          </c:spPr>
          <c:marker>
            <c:symbol val="none"/>
          </c:marker>
          <c:xVal>
            <c:numRef>
              <c:f>Backend_RPS!$W$4:$X$4</c:f>
              <c:numCache>
                <c:formatCode>General</c:formatCode>
                <c:ptCount val="2"/>
                <c:pt idx="0">
                  <c:v>-10</c:v>
                </c:pt>
                <c:pt idx="1">
                  <c:v>14</c:v>
                </c:pt>
              </c:numCache>
            </c:numRef>
          </c:xVal>
          <c:yVal>
            <c:numRef>
              <c:f>Backend_RPS!$Y$4:$Z$4</c:f>
              <c:numCache>
                <c:formatCode>General</c:formatCode>
                <c:ptCount val="2"/>
                <c:pt idx="0">
                  <c:v>2.7</c:v>
                </c:pt>
                <c:pt idx="1">
                  <c:v>2.7</c:v>
                </c:pt>
              </c:numCache>
            </c:numRef>
          </c:yVal>
          <c:smooth val="0"/>
          <c:extLst>
            <c:ext xmlns:c16="http://schemas.microsoft.com/office/drawing/2014/chart" uri="{C3380CC4-5D6E-409C-BE32-E72D297353CC}">
              <c16:uniqueId val="{00000001-5010-482F-BF45-65020AEAD241}"/>
            </c:ext>
          </c:extLst>
        </c:ser>
        <c:ser>
          <c:idx val="13"/>
          <c:order val="2"/>
          <c:tx>
            <c:strRef>
              <c:f>Backend_RPS!$J$5</c:f>
              <c:strCache>
                <c:ptCount val="1"/>
                <c:pt idx="0">
                  <c:v>Carpals Proxy 1</c:v>
                </c:pt>
              </c:strCache>
            </c:strRef>
          </c:tx>
          <c:spPr>
            <a:ln w="254000" cap="rnd">
              <a:solidFill>
                <a:schemeClr val="accent4"/>
              </a:solidFill>
              <a:round/>
              <a:tailEnd type="none" w="sm" len="sm"/>
            </a:ln>
            <a:effectLst/>
          </c:spPr>
          <c:marker>
            <c:symbol val="none"/>
          </c:marker>
          <c:xVal>
            <c:numRef>
              <c:f>Backend_RPS!$W$5:$X$5</c:f>
              <c:numCache>
                <c:formatCode>General</c:formatCode>
                <c:ptCount val="2"/>
                <c:pt idx="0">
                  <c:v>8</c:v>
                </c:pt>
                <c:pt idx="1">
                  <c:v>20</c:v>
                </c:pt>
              </c:numCache>
            </c:numRef>
          </c:xVal>
          <c:yVal>
            <c:numRef>
              <c:f>Backend_RPS!$Y$5:$Z$5</c:f>
              <c:numCache>
                <c:formatCode>General</c:formatCode>
                <c:ptCount val="2"/>
                <c:pt idx="0">
                  <c:v>2.85</c:v>
                </c:pt>
                <c:pt idx="1">
                  <c:v>3.1</c:v>
                </c:pt>
              </c:numCache>
            </c:numRef>
          </c:yVal>
          <c:smooth val="0"/>
          <c:extLst>
            <c:ext xmlns:c16="http://schemas.microsoft.com/office/drawing/2014/chart" uri="{C3380CC4-5D6E-409C-BE32-E72D297353CC}">
              <c16:uniqueId val="{00000002-5010-482F-BF45-65020AEAD241}"/>
            </c:ext>
          </c:extLst>
        </c:ser>
        <c:ser>
          <c:idx val="14"/>
          <c:order val="3"/>
          <c:tx>
            <c:strRef>
              <c:f>Backend_RPS!$J$6</c:f>
              <c:strCache>
                <c:ptCount val="1"/>
                <c:pt idx="0">
                  <c:v>Carpals Proxy 2</c:v>
                </c:pt>
              </c:strCache>
            </c:strRef>
          </c:tx>
          <c:spPr>
            <a:ln w="254000" cap="rnd">
              <a:solidFill>
                <a:schemeClr val="accent4"/>
              </a:solidFill>
              <a:round/>
              <a:tailEnd type="none" w="sm" len="sm"/>
            </a:ln>
            <a:effectLst/>
          </c:spPr>
          <c:marker>
            <c:symbol val="none"/>
          </c:marker>
          <c:xVal>
            <c:numRef>
              <c:f>Backend_RPS!$W$6:$X$6</c:f>
              <c:numCache>
                <c:formatCode>General</c:formatCode>
                <c:ptCount val="2"/>
                <c:pt idx="0">
                  <c:v>20</c:v>
                </c:pt>
                <c:pt idx="1">
                  <c:v>20</c:v>
                </c:pt>
              </c:numCache>
            </c:numRef>
          </c:xVal>
          <c:yVal>
            <c:numRef>
              <c:f>Backend_RPS!$Y$6:$Z$6</c:f>
              <c:numCache>
                <c:formatCode>General</c:formatCode>
                <c:ptCount val="2"/>
                <c:pt idx="0">
                  <c:v>3.1</c:v>
                </c:pt>
                <c:pt idx="1">
                  <c:v>1.2999999999999998</c:v>
                </c:pt>
              </c:numCache>
            </c:numRef>
          </c:yVal>
          <c:smooth val="0"/>
          <c:extLst>
            <c:ext xmlns:c16="http://schemas.microsoft.com/office/drawing/2014/chart" uri="{C3380CC4-5D6E-409C-BE32-E72D297353CC}">
              <c16:uniqueId val="{00000003-5010-482F-BF45-65020AEAD241}"/>
            </c:ext>
          </c:extLst>
        </c:ser>
        <c:ser>
          <c:idx val="15"/>
          <c:order val="4"/>
          <c:tx>
            <c:strRef>
              <c:f>Backend_RPS!$J$7</c:f>
              <c:strCache>
                <c:ptCount val="1"/>
                <c:pt idx="0">
                  <c:v>Carpals Proxy 3</c:v>
                </c:pt>
              </c:strCache>
            </c:strRef>
          </c:tx>
          <c:spPr>
            <a:ln w="254000" cap="rnd" cmpd="sng" algn="ctr">
              <a:solidFill>
                <a:schemeClr val="accent4"/>
              </a:solidFill>
              <a:prstDash val="solid"/>
              <a:round/>
              <a:headEnd type="none" w="med" len="med"/>
              <a:tailEnd type="none" w="sm" len="sm"/>
            </a:ln>
            <a:effectLst/>
          </c:spPr>
          <c:marker>
            <c:symbol val="none"/>
          </c:marker>
          <c:xVal>
            <c:numRef>
              <c:f>Backend_RPS!$W$7:$X$7</c:f>
              <c:numCache>
                <c:formatCode>General</c:formatCode>
                <c:ptCount val="2"/>
                <c:pt idx="0">
                  <c:v>20</c:v>
                </c:pt>
                <c:pt idx="1">
                  <c:v>8</c:v>
                </c:pt>
              </c:numCache>
            </c:numRef>
          </c:xVal>
          <c:yVal>
            <c:numRef>
              <c:f>Backend_RPS!$Y$7:$Z$7</c:f>
              <c:numCache>
                <c:formatCode>General</c:formatCode>
                <c:ptCount val="2"/>
                <c:pt idx="0">
                  <c:v>1.2999999999999998</c:v>
                </c:pt>
                <c:pt idx="1">
                  <c:v>1.5499999999999998</c:v>
                </c:pt>
              </c:numCache>
            </c:numRef>
          </c:yVal>
          <c:smooth val="0"/>
          <c:extLst>
            <c:ext xmlns:c16="http://schemas.microsoft.com/office/drawing/2014/chart" uri="{C3380CC4-5D6E-409C-BE32-E72D297353CC}">
              <c16:uniqueId val="{00000004-5010-482F-BF45-65020AEAD241}"/>
            </c:ext>
          </c:extLst>
        </c:ser>
        <c:ser>
          <c:idx val="16"/>
          <c:order val="5"/>
          <c:tx>
            <c:strRef>
              <c:f>Backend_RPS!$J$8</c:f>
              <c:strCache>
                <c:ptCount val="1"/>
                <c:pt idx="0">
                  <c:v>Carpals Proxy 4</c:v>
                </c:pt>
              </c:strCache>
            </c:strRef>
          </c:tx>
          <c:spPr>
            <a:ln w="254000" cap="rnd" cmpd="sng" algn="ctr">
              <a:solidFill>
                <a:schemeClr val="accent4"/>
              </a:solidFill>
              <a:prstDash val="solid"/>
              <a:round/>
              <a:headEnd type="none" w="med" len="med"/>
              <a:tailEnd type="none" w="sm" len="sm"/>
            </a:ln>
            <a:effectLst/>
          </c:spPr>
          <c:marker>
            <c:symbol val="none"/>
          </c:marker>
          <c:xVal>
            <c:numRef>
              <c:f>Backend_RPS!$W$8:$X$8</c:f>
              <c:numCache>
                <c:formatCode>General</c:formatCode>
                <c:ptCount val="2"/>
                <c:pt idx="0">
                  <c:v>8</c:v>
                </c:pt>
                <c:pt idx="1">
                  <c:v>8</c:v>
                </c:pt>
              </c:numCache>
            </c:numRef>
          </c:xVal>
          <c:yVal>
            <c:numRef>
              <c:f>Backend_RPS!$Y$8:$Z$8</c:f>
              <c:numCache>
                <c:formatCode>General</c:formatCode>
                <c:ptCount val="2"/>
                <c:pt idx="0">
                  <c:v>1.5499999999999998</c:v>
                </c:pt>
                <c:pt idx="1">
                  <c:v>2.85</c:v>
                </c:pt>
              </c:numCache>
            </c:numRef>
          </c:yVal>
          <c:smooth val="0"/>
          <c:extLst>
            <c:ext xmlns:c16="http://schemas.microsoft.com/office/drawing/2014/chart" uri="{C3380CC4-5D6E-409C-BE32-E72D297353CC}">
              <c16:uniqueId val="{00000005-5010-482F-BF45-65020AEAD241}"/>
            </c:ext>
          </c:extLst>
        </c:ser>
        <c:ser>
          <c:idx val="17"/>
          <c:order val="6"/>
          <c:tx>
            <c:strRef>
              <c:f>Backend_RPS!$J$9</c:f>
              <c:strCache>
                <c:ptCount val="1"/>
                <c:pt idx="0">
                  <c:v>Carpals Proxy 5</c:v>
                </c:pt>
              </c:strCache>
            </c:strRef>
          </c:tx>
          <c:spPr>
            <a:ln w="762000" cap="rnd" cmpd="sng" algn="ctr">
              <a:solidFill>
                <a:schemeClr val="accent4"/>
              </a:solidFill>
              <a:prstDash val="solid"/>
              <a:round/>
              <a:headEnd type="none" w="med" len="med"/>
              <a:tailEnd type="none" w="sm" len="sm"/>
            </a:ln>
            <a:effectLst/>
          </c:spPr>
          <c:marker>
            <c:symbol val="none"/>
          </c:marker>
          <c:xVal>
            <c:numRef>
              <c:f>Backend_RPS!$W$9:$X$9</c:f>
              <c:numCache>
                <c:formatCode>General</c:formatCode>
                <c:ptCount val="2"/>
                <c:pt idx="0">
                  <c:v>14</c:v>
                </c:pt>
                <c:pt idx="1">
                  <c:v>14</c:v>
                </c:pt>
              </c:numCache>
            </c:numRef>
          </c:xVal>
          <c:yVal>
            <c:numRef>
              <c:f>Backend_RPS!$Y$9:$Z$9</c:f>
              <c:numCache>
                <c:formatCode>General</c:formatCode>
                <c:ptCount val="2"/>
                <c:pt idx="0">
                  <c:v>2.3000000000000003</c:v>
                </c:pt>
                <c:pt idx="1">
                  <c:v>2.1</c:v>
                </c:pt>
              </c:numCache>
            </c:numRef>
          </c:yVal>
          <c:smooth val="0"/>
          <c:extLst>
            <c:ext xmlns:c16="http://schemas.microsoft.com/office/drawing/2014/chart" uri="{C3380CC4-5D6E-409C-BE32-E72D297353CC}">
              <c16:uniqueId val="{00000006-5010-482F-BF45-65020AEAD241}"/>
            </c:ext>
          </c:extLst>
        </c:ser>
        <c:ser>
          <c:idx val="18"/>
          <c:order val="7"/>
          <c:tx>
            <c:strRef>
              <c:f>Backend_RPS!$J$10</c:f>
              <c:strCache>
                <c:ptCount val="1"/>
                <c:pt idx="0">
                  <c:v>Distal Phalanges (T)</c:v>
                </c:pt>
              </c:strCache>
            </c:strRef>
          </c:tx>
          <c:spPr>
            <a:ln w="133350" cap="rnd" cmpd="sng" algn="ctr">
              <a:solidFill>
                <a:srgbClr val="EC008C">
                  <a:lumMod val="100000"/>
                </a:srgbClr>
              </a:solidFill>
              <a:prstDash val="solid"/>
              <a:round/>
              <a:headEnd type="none" w="med" len="med"/>
              <a:tailEnd type="oval" w="sm" len="sm"/>
            </a:ln>
            <a:effectLst/>
          </c:spPr>
          <c:marker>
            <c:symbol val="none"/>
          </c:marker>
          <c:xVal>
            <c:numRef>
              <c:f>Backend_RPS!$W$10:$X$10</c:f>
              <c:numCache>
                <c:formatCode>General</c:formatCode>
                <c:ptCount val="2"/>
                <c:pt idx="0">
                  <c:v>14</c:v>
                </c:pt>
                <c:pt idx="1">
                  <c:v>26.939764294607535</c:v>
                </c:pt>
              </c:numCache>
            </c:numRef>
          </c:xVal>
          <c:yVal>
            <c:numRef>
              <c:f>Backend_RPS!$Y$10:$Z$10</c:f>
              <c:numCache>
                <c:formatCode>General</c:formatCode>
                <c:ptCount val="2"/>
                <c:pt idx="0">
                  <c:v>3</c:v>
                </c:pt>
                <c:pt idx="1">
                  <c:v>4.25</c:v>
                </c:pt>
              </c:numCache>
            </c:numRef>
          </c:yVal>
          <c:smooth val="0"/>
          <c:extLst>
            <c:ext xmlns:c16="http://schemas.microsoft.com/office/drawing/2014/chart" uri="{C3380CC4-5D6E-409C-BE32-E72D297353CC}">
              <c16:uniqueId val="{00000007-5010-482F-BF45-65020AEAD241}"/>
            </c:ext>
          </c:extLst>
        </c:ser>
        <c:ser>
          <c:idx val="19"/>
          <c:order val="8"/>
          <c:tx>
            <c:strRef>
              <c:f>Backend_RPS!$J$11</c:f>
              <c:strCache>
                <c:ptCount val="1"/>
                <c:pt idx="0">
                  <c:v>Middle Phalanges (T)</c:v>
                </c:pt>
              </c:strCache>
            </c:strRef>
          </c:tx>
          <c:spPr>
            <a:ln w="133350" cap="rnd" cmpd="sng" algn="ctr">
              <a:solidFill>
                <a:srgbClr val="AA0000">
                  <a:lumMod val="100000"/>
                </a:srgbClr>
              </a:solidFill>
              <a:prstDash val="solid"/>
              <a:round/>
              <a:headEnd type="none" w="med" len="med"/>
              <a:tailEnd type="oval" w="sm" len="sm"/>
            </a:ln>
            <a:effectLst/>
          </c:spPr>
          <c:marker>
            <c:symbol val="none"/>
          </c:marker>
          <c:xVal>
            <c:numRef>
              <c:f>Backend_RPS!$W$11:$X$11</c:f>
              <c:numCache>
                <c:formatCode>General</c:formatCode>
                <c:ptCount val="2"/>
                <c:pt idx="0">
                  <c:v>26.939764294607535</c:v>
                </c:pt>
                <c:pt idx="1">
                  <c:v>37.434942250725214</c:v>
                </c:pt>
              </c:numCache>
            </c:numRef>
          </c:xVal>
          <c:yVal>
            <c:numRef>
              <c:f>Backend_RPS!$Y$11:$Z$11</c:f>
              <c:numCache>
                <c:formatCode>General</c:formatCode>
                <c:ptCount val="2"/>
                <c:pt idx="0">
                  <c:v>4.25</c:v>
                </c:pt>
                <c:pt idx="1">
                  <c:v>4.5681818181818183</c:v>
                </c:pt>
              </c:numCache>
            </c:numRef>
          </c:yVal>
          <c:smooth val="0"/>
          <c:extLst>
            <c:ext xmlns:c16="http://schemas.microsoft.com/office/drawing/2014/chart" uri="{C3380CC4-5D6E-409C-BE32-E72D297353CC}">
              <c16:uniqueId val="{00000008-5010-482F-BF45-65020AEAD241}"/>
            </c:ext>
          </c:extLst>
        </c:ser>
        <c:ser>
          <c:idx val="20"/>
          <c:order val="9"/>
          <c:tx>
            <c:strRef>
              <c:f>Backend_RPS!$J$12</c:f>
              <c:strCache>
                <c:ptCount val="1"/>
                <c:pt idx="0">
                  <c:v>Proximal Phalanges (T)</c:v>
                </c:pt>
              </c:strCache>
            </c:strRef>
          </c:tx>
          <c:spPr>
            <a:ln w="133350" cap="rnd" cmpd="sng" algn="ctr">
              <a:solidFill>
                <a:srgbClr val="D83B01">
                  <a:lumMod val="100000"/>
                </a:srgbClr>
              </a:solidFill>
              <a:prstDash val="solid"/>
              <a:round/>
              <a:headEnd type="none" w="med" len="med"/>
              <a:tailEnd type="oval" w="sm" len="sm"/>
            </a:ln>
            <a:effectLst/>
          </c:spPr>
          <c:marker>
            <c:symbol val="none"/>
          </c:marker>
          <c:xVal>
            <c:numRef>
              <c:f>Backend_RPS!$W$12:$X$12</c:f>
              <c:numCache>
                <c:formatCode>General</c:formatCode>
                <c:ptCount val="2"/>
                <c:pt idx="0">
                  <c:v>37.434942250725214</c:v>
                </c:pt>
                <c:pt idx="1">
                  <c:v>37.434942250725214</c:v>
                </c:pt>
              </c:numCache>
            </c:numRef>
          </c:xVal>
          <c:yVal>
            <c:numRef>
              <c:f>Backend_RPS!$Y$12:$Z$12</c:f>
              <c:numCache>
                <c:formatCode>General</c:formatCode>
                <c:ptCount val="2"/>
                <c:pt idx="0">
                  <c:v>4.5681818181818183</c:v>
                </c:pt>
                <c:pt idx="1">
                  <c:v>4.5681818181818183</c:v>
                </c:pt>
              </c:numCache>
            </c:numRef>
          </c:yVal>
          <c:smooth val="0"/>
          <c:extLst>
            <c:ext xmlns:c16="http://schemas.microsoft.com/office/drawing/2014/chart" uri="{C3380CC4-5D6E-409C-BE32-E72D297353CC}">
              <c16:uniqueId val="{00000009-5010-482F-BF45-65020AEAD241}"/>
            </c:ext>
          </c:extLst>
        </c:ser>
        <c:ser>
          <c:idx val="21"/>
          <c:order val="10"/>
          <c:tx>
            <c:strRef>
              <c:f>Backend_RPS!$J$13</c:f>
              <c:strCache>
                <c:ptCount val="1"/>
                <c:pt idx="0">
                  <c:v>Metacarpals (T)</c:v>
                </c:pt>
              </c:strCache>
            </c:strRef>
          </c:tx>
          <c:spPr>
            <a:ln w="133350" cap="rnd" cmpd="sng" algn="ctr">
              <a:solidFill>
                <a:srgbClr val="FFB900">
                  <a:lumMod val="100000"/>
                </a:srgbClr>
              </a:solidFill>
              <a:prstDash val="solid"/>
              <a:round/>
              <a:headEnd type="none" w="med" len="med"/>
              <a:tailEnd type="none" w="sm" len="sm"/>
            </a:ln>
            <a:effectLst/>
          </c:spPr>
          <c:marker>
            <c:symbol val="none"/>
          </c:marker>
          <c:xVal>
            <c:numRef>
              <c:f>Backend_RPS!$W$13:$X$13</c:f>
              <c:numCache>
                <c:formatCode>General</c:formatCode>
                <c:ptCount val="2"/>
                <c:pt idx="0">
                  <c:v>37.434942250725214</c:v>
                </c:pt>
                <c:pt idx="1">
                  <c:v>43.432186797078174</c:v>
                </c:pt>
              </c:numCache>
            </c:numRef>
          </c:xVal>
          <c:yVal>
            <c:numRef>
              <c:f>Backend_RPS!$Y$13:$Z$13</c:f>
              <c:numCache>
                <c:formatCode>General</c:formatCode>
                <c:ptCount val="2"/>
                <c:pt idx="0">
                  <c:v>4.5681818181818183</c:v>
                </c:pt>
                <c:pt idx="1">
                  <c:v>4.75</c:v>
                </c:pt>
              </c:numCache>
            </c:numRef>
          </c:yVal>
          <c:smooth val="0"/>
          <c:extLst>
            <c:ext xmlns:c16="http://schemas.microsoft.com/office/drawing/2014/chart" uri="{C3380CC4-5D6E-409C-BE32-E72D297353CC}">
              <c16:uniqueId val="{0000000A-5010-482F-BF45-65020AEAD241}"/>
            </c:ext>
          </c:extLst>
        </c:ser>
        <c:ser>
          <c:idx val="22"/>
          <c:order val="11"/>
          <c:tx>
            <c:strRef>
              <c:f>Backend_RPS!$J$14</c:f>
              <c:strCache>
                <c:ptCount val="1"/>
                <c:pt idx="0">
                  <c:v>Distal Phalanges (I)</c:v>
                </c:pt>
              </c:strCache>
            </c:strRef>
          </c:tx>
          <c:spPr>
            <a:ln w="133350" cap="rnd" cmpd="sng" algn="ctr">
              <a:solidFill>
                <a:srgbClr val="EC008C">
                  <a:lumMod val="100000"/>
                </a:srgbClr>
              </a:solidFill>
              <a:prstDash val="solid"/>
              <a:round/>
              <a:headEnd type="none" w="med" len="med"/>
              <a:tailEnd type="oval" w="sm" len="sm"/>
            </a:ln>
            <a:effectLst/>
          </c:spPr>
          <c:marker>
            <c:symbol val="none"/>
          </c:marker>
          <c:xVal>
            <c:numRef>
              <c:f>Backend_RPS!$W$14:$X$14</c:f>
              <c:numCache>
                <c:formatCode>General</c:formatCode>
                <c:ptCount val="2"/>
                <c:pt idx="0">
                  <c:v>16</c:v>
                </c:pt>
                <c:pt idx="1">
                  <c:v>38.99733680233431</c:v>
                </c:pt>
              </c:numCache>
            </c:numRef>
          </c:xVal>
          <c:yVal>
            <c:numRef>
              <c:f>Backend_RPS!$Y$14:$Z$14</c:f>
              <c:numCache>
                <c:formatCode>General</c:formatCode>
                <c:ptCount val="2"/>
                <c:pt idx="0">
                  <c:v>2.75</c:v>
                </c:pt>
                <c:pt idx="1">
                  <c:v>3.1</c:v>
                </c:pt>
              </c:numCache>
            </c:numRef>
          </c:yVal>
          <c:smooth val="0"/>
          <c:extLst>
            <c:ext xmlns:c16="http://schemas.microsoft.com/office/drawing/2014/chart" uri="{C3380CC4-5D6E-409C-BE32-E72D297353CC}">
              <c16:uniqueId val="{0000000B-5010-482F-BF45-65020AEAD241}"/>
            </c:ext>
          </c:extLst>
        </c:ser>
        <c:ser>
          <c:idx val="23"/>
          <c:order val="12"/>
          <c:tx>
            <c:strRef>
              <c:f>Backend_RPS!$J$15</c:f>
              <c:strCache>
                <c:ptCount val="1"/>
                <c:pt idx="0">
                  <c:v>Middle Phalanges (I)</c:v>
                </c:pt>
              </c:strCache>
            </c:strRef>
          </c:tx>
          <c:spPr>
            <a:ln w="133350" cap="rnd" cmpd="sng" algn="ctr">
              <a:solidFill>
                <a:srgbClr val="AA0000">
                  <a:lumMod val="100000"/>
                </a:srgbClr>
              </a:solidFill>
              <a:prstDash val="solid"/>
              <a:round/>
              <a:headEnd type="none" w="med" len="med"/>
              <a:tailEnd type="oval" w="sm" len="sm"/>
            </a:ln>
            <a:effectLst/>
          </c:spPr>
          <c:marker>
            <c:symbol val="none"/>
          </c:marker>
          <c:xVal>
            <c:numRef>
              <c:f>Backend_RPS!$W$15:$X$15</c:f>
              <c:numCache>
                <c:formatCode>General</c:formatCode>
                <c:ptCount val="2"/>
                <c:pt idx="0">
                  <c:v>38.99733680233431</c:v>
                </c:pt>
                <c:pt idx="1">
                  <c:v>53.997136147008874</c:v>
                </c:pt>
              </c:numCache>
            </c:numRef>
          </c:xVal>
          <c:yVal>
            <c:numRef>
              <c:f>Backend_RPS!$Y$15:$Z$15</c:f>
              <c:numCache>
                <c:formatCode>General</c:formatCode>
                <c:ptCount val="2"/>
                <c:pt idx="0">
                  <c:v>3.1</c:v>
                </c:pt>
                <c:pt idx="1">
                  <c:v>3.1775862068965517</c:v>
                </c:pt>
              </c:numCache>
            </c:numRef>
          </c:yVal>
          <c:smooth val="0"/>
          <c:extLst>
            <c:ext xmlns:c16="http://schemas.microsoft.com/office/drawing/2014/chart" uri="{C3380CC4-5D6E-409C-BE32-E72D297353CC}">
              <c16:uniqueId val="{0000000C-5010-482F-BF45-65020AEAD241}"/>
            </c:ext>
          </c:extLst>
        </c:ser>
        <c:ser>
          <c:idx val="24"/>
          <c:order val="13"/>
          <c:tx>
            <c:strRef>
              <c:f>Backend_RPS!$J$16</c:f>
              <c:strCache>
                <c:ptCount val="1"/>
                <c:pt idx="0">
                  <c:v>Proximal Phalanges (I)</c:v>
                </c:pt>
              </c:strCache>
            </c:strRef>
          </c:tx>
          <c:spPr>
            <a:ln w="133350" cap="rnd" cmpd="sng" algn="ctr">
              <a:solidFill>
                <a:srgbClr val="D83B01">
                  <a:lumMod val="100000"/>
                </a:srgbClr>
              </a:solidFill>
              <a:prstDash val="solid"/>
              <a:round/>
              <a:headEnd type="none" w="med" len="med"/>
              <a:tailEnd type="oval" w="sm" len="sm"/>
            </a:ln>
            <a:effectLst/>
          </c:spPr>
          <c:marker>
            <c:symbol val="none"/>
          </c:marker>
          <c:xVal>
            <c:numRef>
              <c:f>Backend_RPS!$W$16:$X$16</c:f>
              <c:numCache>
                <c:formatCode>General</c:formatCode>
                <c:ptCount val="2"/>
                <c:pt idx="0">
                  <c:v>53.997136147008874</c:v>
                </c:pt>
                <c:pt idx="1">
                  <c:v>62.997015753813614</c:v>
                </c:pt>
              </c:numCache>
            </c:numRef>
          </c:xVal>
          <c:yVal>
            <c:numRef>
              <c:f>Backend_RPS!$Y$16:$Z$16</c:f>
              <c:numCache>
                <c:formatCode>General</c:formatCode>
                <c:ptCount val="2"/>
                <c:pt idx="0">
                  <c:v>3.1775862068965517</c:v>
                </c:pt>
                <c:pt idx="1">
                  <c:v>3.2241379310344827</c:v>
                </c:pt>
              </c:numCache>
            </c:numRef>
          </c:yVal>
          <c:smooth val="0"/>
          <c:extLst>
            <c:ext xmlns:c16="http://schemas.microsoft.com/office/drawing/2014/chart" uri="{C3380CC4-5D6E-409C-BE32-E72D297353CC}">
              <c16:uniqueId val="{0000000D-5010-482F-BF45-65020AEAD241}"/>
            </c:ext>
          </c:extLst>
        </c:ser>
        <c:ser>
          <c:idx val="25"/>
          <c:order val="14"/>
          <c:tx>
            <c:strRef>
              <c:f>Backend_RPS!$J$17</c:f>
              <c:strCache>
                <c:ptCount val="1"/>
                <c:pt idx="0">
                  <c:v>Metacarpals (I)</c:v>
                </c:pt>
              </c:strCache>
            </c:strRef>
          </c:tx>
          <c:spPr>
            <a:ln w="133350" cap="rnd" cmpd="sng" algn="ctr">
              <a:solidFill>
                <a:srgbClr val="FFB900">
                  <a:lumMod val="100000"/>
                </a:srgbClr>
              </a:solidFill>
              <a:prstDash val="solid"/>
              <a:round/>
              <a:headEnd type="none" w="med" len="med"/>
              <a:tailEnd type="none" w="sm" len="sm"/>
            </a:ln>
            <a:effectLst/>
          </c:spPr>
          <c:marker>
            <c:symbol val="none"/>
          </c:marker>
          <c:xVal>
            <c:numRef>
              <c:f>Backend_RPS!$W$17:$X$17</c:f>
              <c:numCache>
                <c:formatCode>General</c:formatCode>
                <c:ptCount val="2"/>
                <c:pt idx="0">
                  <c:v>62.997015753813614</c:v>
                </c:pt>
                <c:pt idx="1">
                  <c:v>67.996948868705132</c:v>
                </c:pt>
              </c:numCache>
            </c:numRef>
          </c:xVal>
          <c:yVal>
            <c:numRef>
              <c:f>Backend_RPS!$Y$17:$Z$17</c:f>
              <c:numCache>
                <c:formatCode>General</c:formatCode>
                <c:ptCount val="2"/>
                <c:pt idx="0">
                  <c:v>3.2241379310344827</c:v>
                </c:pt>
                <c:pt idx="1">
                  <c:v>3.25</c:v>
                </c:pt>
              </c:numCache>
            </c:numRef>
          </c:yVal>
          <c:smooth val="0"/>
          <c:extLst>
            <c:ext xmlns:c16="http://schemas.microsoft.com/office/drawing/2014/chart" uri="{C3380CC4-5D6E-409C-BE32-E72D297353CC}">
              <c16:uniqueId val="{0000000E-5010-482F-BF45-65020AEAD241}"/>
            </c:ext>
          </c:extLst>
        </c:ser>
        <c:ser>
          <c:idx val="26"/>
          <c:order val="15"/>
          <c:tx>
            <c:strRef>
              <c:f>Backend_RPS!$J$18</c:f>
              <c:strCache>
                <c:ptCount val="1"/>
                <c:pt idx="0">
                  <c:v>Distal Phalanges (M)</c:v>
                </c:pt>
              </c:strCache>
            </c:strRef>
          </c:tx>
          <c:spPr>
            <a:ln w="133350" cap="rnd" cmpd="sng" algn="ctr">
              <a:solidFill>
                <a:srgbClr val="EC008C">
                  <a:lumMod val="100000"/>
                </a:srgbClr>
              </a:solidFill>
              <a:prstDash val="solid"/>
              <a:round/>
              <a:headEnd type="none" w="med" len="med"/>
              <a:tailEnd type="oval" w="sm" len="sm"/>
            </a:ln>
            <a:effectLst/>
          </c:spPr>
          <c:marker>
            <c:symbol val="none"/>
          </c:marker>
          <c:xVal>
            <c:numRef>
              <c:f>Backend_RPS!$W$18:$X$18</c:f>
              <c:numCache>
                <c:formatCode>General</c:formatCode>
                <c:ptCount val="2"/>
                <c:pt idx="0">
                  <c:v>16.2</c:v>
                </c:pt>
                <c:pt idx="1">
                  <c:v>39.199945652109704</c:v>
                </c:pt>
              </c:numCache>
            </c:numRef>
          </c:xVal>
          <c:yVal>
            <c:numRef>
              <c:f>Backend_RPS!$Y$18:$Z$18</c:f>
              <c:numCache>
                <c:formatCode>General</c:formatCode>
                <c:ptCount val="2"/>
                <c:pt idx="0">
                  <c:v>2.2999999999999998</c:v>
                </c:pt>
                <c:pt idx="1">
                  <c:v>2.25</c:v>
                </c:pt>
              </c:numCache>
            </c:numRef>
          </c:yVal>
          <c:smooth val="0"/>
          <c:extLst>
            <c:ext xmlns:c16="http://schemas.microsoft.com/office/drawing/2014/chart" uri="{C3380CC4-5D6E-409C-BE32-E72D297353CC}">
              <c16:uniqueId val="{0000000F-5010-482F-BF45-65020AEAD241}"/>
            </c:ext>
          </c:extLst>
        </c:ser>
        <c:ser>
          <c:idx val="27"/>
          <c:order val="16"/>
          <c:tx>
            <c:strRef>
              <c:f>Backend_RPS!$J$19</c:f>
              <c:strCache>
                <c:ptCount val="1"/>
                <c:pt idx="0">
                  <c:v>Middle Phalanges (M)</c:v>
                </c:pt>
              </c:strCache>
            </c:strRef>
          </c:tx>
          <c:spPr>
            <a:ln w="133350" cap="rnd" cmpd="sng" algn="ctr">
              <a:solidFill>
                <a:srgbClr val="AA0000">
                  <a:lumMod val="100000"/>
                </a:srgbClr>
              </a:solidFill>
              <a:prstDash val="solid"/>
              <a:round/>
              <a:headEnd type="none" w="med" len="med"/>
              <a:tailEnd type="oval" w="sm" len="sm"/>
            </a:ln>
            <a:effectLst/>
          </c:spPr>
          <c:marker>
            <c:symbol val="none"/>
          </c:marker>
          <c:xVal>
            <c:numRef>
              <c:f>Backend_RPS!$W$19:$X$19</c:f>
              <c:numCache>
                <c:formatCode>General</c:formatCode>
                <c:ptCount val="2"/>
                <c:pt idx="0">
                  <c:v>39.199945652109704</c:v>
                </c:pt>
                <c:pt idx="1">
                  <c:v>56.19986759867065</c:v>
                </c:pt>
              </c:numCache>
            </c:numRef>
          </c:xVal>
          <c:yVal>
            <c:numRef>
              <c:f>Backend_RPS!$Y$19:$Z$19</c:f>
              <c:numCache>
                <c:formatCode>General</c:formatCode>
                <c:ptCount val="2"/>
                <c:pt idx="0">
                  <c:v>2.25</c:v>
                </c:pt>
                <c:pt idx="1">
                  <c:v>2.1984848484848483</c:v>
                </c:pt>
              </c:numCache>
            </c:numRef>
          </c:yVal>
          <c:smooth val="0"/>
          <c:extLst>
            <c:ext xmlns:c16="http://schemas.microsoft.com/office/drawing/2014/chart" uri="{C3380CC4-5D6E-409C-BE32-E72D297353CC}">
              <c16:uniqueId val="{00000010-5010-482F-BF45-65020AEAD241}"/>
            </c:ext>
          </c:extLst>
        </c:ser>
        <c:ser>
          <c:idx val="28"/>
          <c:order val="17"/>
          <c:tx>
            <c:strRef>
              <c:f>Backend_RPS!$J$20</c:f>
              <c:strCache>
                <c:ptCount val="1"/>
                <c:pt idx="0">
                  <c:v>Proximal Phalanges (M)</c:v>
                </c:pt>
              </c:strCache>
            </c:strRef>
          </c:tx>
          <c:spPr>
            <a:ln w="133350" cap="rnd" cmpd="sng" algn="ctr">
              <a:solidFill>
                <a:srgbClr val="D83B01">
                  <a:lumMod val="100000"/>
                </a:srgbClr>
              </a:solidFill>
              <a:prstDash val="solid"/>
              <a:round/>
              <a:headEnd type="none" w="med" len="med"/>
              <a:tailEnd type="oval" w="sm" len="sm"/>
            </a:ln>
            <a:effectLst/>
          </c:spPr>
          <c:marker>
            <c:symbol val="none"/>
          </c:marker>
          <c:xVal>
            <c:numRef>
              <c:f>Backend_RPS!$W$20:$X$20</c:f>
              <c:numCache>
                <c:formatCode>General</c:formatCode>
                <c:ptCount val="2"/>
                <c:pt idx="0">
                  <c:v>56.19986759867065</c:v>
                </c:pt>
                <c:pt idx="1">
                  <c:v>67.199817093504208</c:v>
                </c:pt>
              </c:numCache>
            </c:numRef>
          </c:xVal>
          <c:yVal>
            <c:numRef>
              <c:f>Backend_RPS!$Y$20:$Z$20</c:f>
              <c:numCache>
                <c:formatCode>General</c:formatCode>
                <c:ptCount val="2"/>
                <c:pt idx="0">
                  <c:v>2.1984848484848483</c:v>
                </c:pt>
                <c:pt idx="1">
                  <c:v>2.165151515151515</c:v>
                </c:pt>
              </c:numCache>
            </c:numRef>
          </c:yVal>
          <c:smooth val="0"/>
          <c:extLst>
            <c:ext xmlns:c16="http://schemas.microsoft.com/office/drawing/2014/chart" uri="{C3380CC4-5D6E-409C-BE32-E72D297353CC}">
              <c16:uniqueId val="{00000011-5010-482F-BF45-65020AEAD241}"/>
            </c:ext>
          </c:extLst>
        </c:ser>
        <c:ser>
          <c:idx val="29"/>
          <c:order val="18"/>
          <c:tx>
            <c:strRef>
              <c:f>Backend_RPS!$J$21</c:f>
              <c:strCache>
                <c:ptCount val="1"/>
                <c:pt idx="0">
                  <c:v>Metacarpals (M)</c:v>
                </c:pt>
              </c:strCache>
            </c:strRef>
          </c:tx>
          <c:spPr>
            <a:ln w="133350" cap="rnd" cmpd="sng" algn="ctr">
              <a:solidFill>
                <a:srgbClr val="FFB900">
                  <a:lumMod val="100000"/>
                </a:srgbClr>
              </a:solidFill>
              <a:prstDash val="solid"/>
              <a:round/>
              <a:headEnd type="none" w="med" len="med"/>
              <a:tailEnd type="none" w="sm" len="sm"/>
            </a:ln>
            <a:effectLst/>
          </c:spPr>
          <c:marker>
            <c:symbol val="none"/>
          </c:marker>
          <c:xVal>
            <c:numRef>
              <c:f>Backend_RPS!$W$21:$X$21</c:f>
              <c:numCache>
                <c:formatCode>General</c:formatCode>
                <c:ptCount val="2"/>
                <c:pt idx="0">
                  <c:v>67.199817093504208</c:v>
                </c:pt>
                <c:pt idx="1">
                  <c:v>72.199794136610365</c:v>
                </c:pt>
              </c:numCache>
            </c:numRef>
          </c:xVal>
          <c:yVal>
            <c:numRef>
              <c:f>Backend_RPS!$Y$21:$Z$21</c:f>
              <c:numCache>
                <c:formatCode>General</c:formatCode>
                <c:ptCount val="2"/>
                <c:pt idx="0">
                  <c:v>2.165151515151515</c:v>
                </c:pt>
                <c:pt idx="1">
                  <c:v>2.15</c:v>
                </c:pt>
              </c:numCache>
            </c:numRef>
          </c:yVal>
          <c:smooth val="0"/>
          <c:extLst>
            <c:ext xmlns:c16="http://schemas.microsoft.com/office/drawing/2014/chart" uri="{C3380CC4-5D6E-409C-BE32-E72D297353CC}">
              <c16:uniqueId val="{00000012-5010-482F-BF45-65020AEAD241}"/>
            </c:ext>
          </c:extLst>
        </c:ser>
        <c:ser>
          <c:idx val="30"/>
          <c:order val="19"/>
          <c:tx>
            <c:strRef>
              <c:f>Backend_RPS!$J$22</c:f>
              <c:strCache>
                <c:ptCount val="1"/>
                <c:pt idx="0">
                  <c:v>Distal Phalanges (R)</c:v>
                </c:pt>
              </c:strCache>
            </c:strRef>
          </c:tx>
          <c:spPr>
            <a:ln w="133350" cap="rnd" cmpd="sng" algn="ctr">
              <a:solidFill>
                <a:srgbClr val="EC008C">
                  <a:lumMod val="100000"/>
                </a:srgbClr>
              </a:solidFill>
              <a:prstDash val="solid"/>
              <a:round/>
              <a:headEnd type="none" w="med" len="med"/>
              <a:tailEnd type="oval" w="sm" len="sm"/>
            </a:ln>
            <a:effectLst/>
          </c:spPr>
          <c:marker>
            <c:symbol val="none"/>
          </c:marker>
          <c:xVal>
            <c:numRef>
              <c:f>Backend_RPS!$W$22:$X$22</c:f>
              <c:numCache>
                <c:formatCode>General</c:formatCode>
                <c:ptCount val="2"/>
                <c:pt idx="0">
                  <c:v>16.3</c:v>
                </c:pt>
                <c:pt idx="1">
                  <c:v>36.294936859115111</c:v>
                </c:pt>
              </c:numCache>
            </c:numRef>
          </c:xVal>
          <c:yVal>
            <c:numRef>
              <c:f>Backend_RPS!$Y$22:$Z$22</c:f>
              <c:numCache>
                <c:formatCode>General</c:formatCode>
                <c:ptCount val="2"/>
                <c:pt idx="0">
                  <c:v>1.9</c:v>
                </c:pt>
                <c:pt idx="1">
                  <c:v>1.4500000000000002</c:v>
                </c:pt>
              </c:numCache>
            </c:numRef>
          </c:yVal>
          <c:smooth val="0"/>
          <c:extLst>
            <c:ext xmlns:c16="http://schemas.microsoft.com/office/drawing/2014/chart" uri="{C3380CC4-5D6E-409C-BE32-E72D297353CC}">
              <c16:uniqueId val="{00000013-5010-482F-BF45-65020AEAD241}"/>
            </c:ext>
          </c:extLst>
        </c:ser>
        <c:ser>
          <c:idx val="31"/>
          <c:order val="20"/>
          <c:tx>
            <c:strRef>
              <c:f>Backend_RPS!$J$23</c:f>
              <c:strCache>
                <c:ptCount val="1"/>
                <c:pt idx="0">
                  <c:v>Middle Phalanges (R)</c:v>
                </c:pt>
              </c:strCache>
            </c:strRef>
          </c:tx>
          <c:spPr>
            <a:ln w="133350" cap="rnd" cmpd="sng" algn="ctr">
              <a:solidFill>
                <a:srgbClr val="AA0000">
                  <a:lumMod val="100000"/>
                </a:srgbClr>
              </a:solidFill>
              <a:prstDash val="solid"/>
              <a:round/>
              <a:headEnd type="none" w="med" len="med"/>
              <a:tailEnd type="oval" w="sm" len="sm"/>
            </a:ln>
            <a:effectLst/>
          </c:spPr>
          <c:marker>
            <c:symbol val="none"/>
          </c:marker>
          <c:xVal>
            <c:numRef>
              <c:f>Backend_RPS!$W$23:$X$23</c:f>
              <c:numCache>
                <c:formatCode>General</c:formatCode>
                <c:ptCount val="2"/>
                <c:pt idx="0">
                  <c:v>36.294936859115111</c:v>
                </c:pt>
                <c:pt idx="1">
                  <c:v>51.294234449328854</c:v>
                </c:pt>
              </c:numCache>
            </c:numRef>
          </c:xVal>
          <c:yVal>
            <c:numRef>
              <c:f>Backend_RPS!$Y$23:$Z$23</c:f>
              <c:numCache>
                <c:formatCode>General</c:formatCode>
                <c:ptCount val="2"/>
                <c:pt idx="0">
                  <c:v>1.4500000000000002</c:v>
                </c:pt>
                <c:pt idx="1">
                  <c:v>1.3048387096774192</c:v>
                </c:pt>
              </c:numCache>
            </c:numRef>
          </c:yVal>
          <c:smooth val="0"/>
          <c:extLst>
            <c:ext xmlns:c16="http://schemas.microsoft.com/office/drawing/2014/chart" uri="{C3380CC4-5D6E-409C-BE32-E72D297353CC}">
              <c16:uniqueId val="{00000014-5010-482F-BF45-65020AEAD241}"/>
            </c:ext>
          </c:extLst>
        </c:ser>
        <c:ser>
          <c:idx val="32"/>
          <c:order val="21"/>
          <c:tx>
            <c:strRef>
              <c:f>Backend_RPS!$J$24</c:f>
              <c:strCache>
                <c:ptCount val="1"/>
                <c:pt idx="0">
                  <c:v>Proximal Phalanges (R)</c:v>
                </c:pt>
              </c:strCache>
            </c:strRef>
          </c:tx>
          <c:spPr>
            <a:ln w="133350" cap="rnd" cmpd="sng" algn="ctr">
              <a:solidFill>
                <a:srgbClr val="D83B01">
                  <a:lumMod val="100000"/>
                </a:srgbClr>
              </a:solidFill>
              <a:prstDash val="solid"/>
              <a:round/>
              <a:headEnd type="none" w="med" len="med"/>
              <a:tailEnd type="oval" w="sm" len="sm"/>
            </a:ln>
            <a:effectLst/>
          </c:spPr>
          <c:marker>
            <c:symbol val="none"/>
          </c:marker>
          <c:xVal>
            <c:numRef>
              <c:f>Backend_RPS!$W$24:$X$24</c:f>
              <c:numCache>
                <c:formatCode>General</c:formatCode>
                <c:ptCount val="2"/>
                <c:pt idx="0">
                  <c:v>51.294234449328854</c:v>
                </c:pt>
                <c:pt idx="1">
                  <c:v>62.293719348818932</c:v>
                </c:pt>
              </c:numCache>
            </c:numRef>
          </c:xVal>
          <c:yVal>
            <c:numRef>
              <c:f>Backend_RPS!$Y$24:$Z$24</c:f>
              <c:numCache>
                <c:formatCode>General</c:formatCode>
                <c:ptCount val="2"/>
                <c:pt idx="0">
                  <c:v>1.3048387096774192</c:v>
                </c:pt>
                <c:pt idx="1">
                  <c:v>1.1983870967741934</c:v>
                </c:pt>
              </c:numCache>
            </c:numRef>
          </c:yVal>
          <c:smooth val="0"/>
          <c:extLst>
            <c:ext xmlns:c16="http://schemas.microsoft.com/office/drawing/2014/chart" uri="{C3380CC4-5D6E-409C-BE32-E72D297353CC}">
              <c16:uniqueId val="{00000015-5010-482F-BF45-65020AEAD241}"/>
            </c:ext>
          </c:extLst>
        </c:ser>
        <c:ser>
          <c:idx val="33"/>
          <c:order val="22"/>
          <c:tx>
            <c:strRef>
              <c:f>Backend_RPS!$J$25</c:f>
              <c:strCache>
                <c:ptCount val="1"/>
                <c:pt idx="0">
                  <c:v>Metacarpals (R)</c:v>
                </c:pt>
              </c:strCache>
            </c:strRef>
          </c:tx>
          <c:spPr>
            <a:ln w="133350" cap="rnd" cmpd="sng" algn="ctr">
              <a:solidFill>
                <a:srgbClr val="FFB900">
                  <a:lumMod val="100000"/>
                </a:srgbClr>
              </a:solidFill>
              <a:prstDash val="solid"/>
              <a:round/>
              <a:headEnd type="none" w="med" len="med"/>
              <a:tailEnd type="none" w="sm" len="sm"/>
            </a:ln>
            <a:effectLst/>
          </c:spPr>
          <c:marker>
            <c:symbol val="none"/>
          </c:marker>
          <c:xVal>
            <c:numRef>
              <c:f>Backend_RPS!$W$25:$X$25</c:f>
              <c:numCache>
                <c:formatCode>General</c:formatCode>
                <c:ptCount val="2"/>
                <c:pt idx="0">
                  <c:v>62.293719348818932</c:v>
                </c:pt>
                <c:pt idx="1">
                  <c:v>67.293485212223516</c:v>
                </c:pt>
              </c:numCache>
            </c:numRef>
          </c:xVal>
          <c:yVal>
            <c:numRef>
              <c:f>Backend_RPS!$Y$25:$Z$25</c:f>
              <c:numCache>
                <c:formatCode>General</c:formatCode>
                <c:ptCount val="2"/>
                <c:pt idx="0">
                  <c:v>1.1983870967741934</c:v>
                </c:pt>
                <c:pt idx="1">
                  <c:v>1.1499999999999999</c:v>
                </c:pt>
              </c:numCache>
            </c:numRef>
          </c:yVal>
          <c:smooth val="0"/>
          <c:extLst>
            <c:ext xmlns:c16="http://schemas.microsoft.com/office/drawing/2014/chart" uri="{C3380CC4-5D6E-409C-BE32-E72D297353CC}">
              <c16:uniqueId val="{00000016-5010-482F-BF45-65020AEAD241}"/>
            </c:ext>
          </c:extLst>
        </c:ser>
        <c:ser>
          <c:idx val="34"/>
          <c:order val="23"/>
          <c:tx>
            <c:strRef>
              <c:f>Backend_RPS!$J$26</c:f>
              <c:strCache>
                <c:ptCount val="1"/>
                <c:pt idx="0">
                  <c:v>Distal Phalanges (P)</c:v>
                </c:pt>
              </c:strCache>
            </c:strRef>
          </c:tx>
          <c:spPr>
            <a:ln w="133350" cap="rnd" cmpd="sng" algn="ctr">
              <a:solidFill>
                <a:srgbClr val="EC008C">
                  <a:lumMod val="100000"/>
                </a:srgbClr>
              </a:solidFill>
              <a:prstDash val="solid"/>
              <a:round/>
              <a:headEnd type="none" w="med" len="med"/>
              <a:tailEnd type="oval" w="sm" len="sm"/>
            </a:ln>
            <a:effectLst/>
          </c:spPr>
          <c:marker>
            <c:symbol val="none"/>
          </c:marker>
          <c:xVal>
            <c:numRef>
              <c:f>Backend_RPS!$W$26:$X$26</c:f>
              <c:numCache>
                <c:formatCode>General</c:formatCode>
                <c:ptCount val="2"/>
                <c:pt idx="0">
                  <c:v>15</c:v>
                </c:pt>
                <c:pt idx="1">
                  <c:v>30.984680165708667</c:v>
                </c:pt>
              </c:numCache>
            </c:numRef>
          </c:xVal>
          <c:yVal>
            <c:numRef>
              <c:f>Backend_RPS!$Y$26:$Z$26</c:f>
              <c:numCache>
                <c:formatCode>General</c:formatCode>
                <c:ptCount val="2"/>
                <c:pt idx="0">
                  <c:v>1.5499999999999998</c:v>
                </c:pt>
                <c:pt idx="1">
                  <c:v>0.84999999999999964</c:v>
                </c:pt>
              </c:numCache>
            </c:numRef>
          </c:yVal>
          <c:smooth val="0"/>
          <c:extLst>
            <c:ext xmlns:c16="http://schemas.microsoft.com/office/drawing/2014/chart" uri="{C3380CC4-5D6E-409C-BE32-E72D297353CC}">
              <c16:uniqueId val="{00000017-5010-482F-BF45-65020AEAD241}"/>
            </c:ext>
          </c:extLst>
        </c:ser>
        <c:ser>
          <c:idx val="35"/>
          <c:order val="24"/>
          <c:tx>
            <c:strRef>
              <c:f>Backend_RPS!$J$27</c:f>
              <c:strCache>
                <c:ptCount val="1"/>
                <c:pt idx="0">
                  <c:v>Middle Phalanges (P)</c:v>
                </c:pt>
              </c:strCache>
            </c:strRef>
          </c:tx>
          <c:spPr>
            <a:ln w="133350" cap="rnd">
              <a:solidFill>
                <a:schemeClr val="accent3"/>
              </a:solidFill>
              <a:round/>
              <a:tailEnd type="oval" w="sm" len="sm"/>
            </a:ln>
            <a:effectLst/>
          </c:spPr>
          <c:marker>
            <c:symbol val="none"/>
          </c:marker>
          <c:xVal>
            <c:numRef>
              <c:f>Backend_RPS!$W$27:$X$27</c:f>
              <c:numCache>
                <c:formatCode>General</c:formatCode>
                <c:ptCount val="2"/>
                <c:pt idx="0">
                  <c:v>30.984680165708667</c:v>
                </c:pt>
                <c:pt idx="1">
                  <c:v>41.980588495628481</c:v>
                </c:pt>
              </c:numCache>
            </c:numRef>
          </c:xVal>
          <c:yVal>
            <c:numRef>
              <c:f>Backend_RPS!$Y$27:$Z$27</c:f>
              <c:numCache>
                <c:formatCode>General</c:formatCode>
                <c:ptCount val="2"/>
                <c:pt idx="0">
                  <c:v>0.84999999999999964</c:v>
                </c:pt>
                <c:pt idx="1">
                  <c:v>0.54999999999999982</c:v>
                </c:pt>
              </c:numCache>
            </c:numRef>
          </c:yVal>
          <c:smooth val="0"/>
          <c:extLst>
            <c:ext xmlns:c16="http://schemas.microsoft.com/office/drawing/2014/chart" uri="{C3380CC4-5D6E-409C-BE32-E72D297353CC}">
              <c16:uniqueId val="{00000018-5010-482F-BF45-65020AEAD241}"/>
            </c:ext>
          </c:extLst>
        </c:ser>
        <c:ser>
          <c:idx val="36"/>
          <c:order val="25"/>
          <c:tx>
            <c:strRef>
              <c:f>Backend_RPS!$J$28</c:f>
              <c:strCache>
                <c:ptCount val="1"/>
                <c:pt idx="0">
                  <c:v>Proximal Phalanges (P)</c:v>
                </c:pt>
              </c:strCache>
            </c:strRef>
          </c:tx>
          <c:spPr>
            <a:ln w="133350" cap="rnd">
              <a:solidFill>
                <a:schemeClr val="accent2"/>
              </a:solidFill>
              <a:round/>
              <a:tailEnd type="oval" w="sm" len="sm"/>
            </a:ln>
            <a:effectLst/>
          </c:spPr>
          <c:marker>
            <c:symbol val="none"/>
          </c:marker>
          <c:xVal>
            <c:numRef>
              <c:f>Backend_RPS!$W$28:$X$28</c:f>
              <c:numCache>
                <c:formatCode>General</c:formatCode>
                <c:ptCount val="2"/>
                <c:pt idx="0">
                  <c:v>41.980588495628481</c:v>
                </c:pt>
                <c:pt idx="1">
                  <c:v>48.977984705577455</c:v>
                </c:pt>
              </c:numCache>
            </c:numRef>
          </c:xVal>
          <c:yVal>
            <c:numRef>
              <c:f>Backend_RPS!$Y$28:$Z$28</c:f>
              <c:numCache>
                <c:formatCode>General</c:formatCode>
                <c:ptCount val="2"/>
                <c:pt idx="0">
                  <c:v>0.54999999999999982</c:v>
                </c:pt>
                <c:pt idx="1">
                  <c:v>0.35909090909090935</c:v>
                </c:pt>
              </c:numCache>
            </c:numRef>
          </c:yVal>
          <c:smooth val="0"/>
          <c:extLst>
            <c:ext xmlns:c16="http://schemas.microsoft.com/office/drawing/2014/chart" uri="{C3380CC4-5D6E-409C-BE32-E72D297353CC}">
              <c16:uniqueId val="{00000019-5010-482F-BF45-65020AEAD241}"/>
            </c:ext>
          </c:extLst>
        </c:ser>
        <c:ser>
          <c:idx val="37"/>
          <c:order val="26"/>
          <c:tx>
            <c:strRef>
              <c:f>Backend_RPS!$J$29</c:f>
              <c:strCache>
                <c:ptCount val="1"/>
                <c:pt idx="0">
                  <c:v>Metacarpals (P)</c:v>
                </c:pt>
              </c:strCache>
            </c:strRef>
          </c:tx>
          <c:spPr>
            <a:ln w="133350" cap="rnd">
              <a:solidFill>
                <a:schemeClr val="accent1"/>
              </a:solidFill>
              <a:round/>
              <a:tailEnd type="none" w="sm" len="sm"/>
            </a:ln>
            <a:effectLst/>
          </c:spPr>
          <c:marker>
            <c:symbol val="none"/>
          </c:marker>
          <c:xVal>
            <c:numRef>
              <c:f>Backend_RPS!$W$29:$X$29</c:f>
              <c:numCache>
                <c:formatCode>General</c:formatCode>
                <c:ptCount val="2"/>
                <c:pt idx="0">
                  <c:v>48.977984705577455</c:v>
                </c:pt>
                <c:pt idx="1">
                  <c:v>52.976496825548296</c:v>
                </c:pt>
              </c:numCache>
            </c:numRef>
          </c:xVal>
          <c:yVal>
            <c:numRef>
              <c:f>Backend_RPS!$Y$29:$Z$29</c:f>
              <c:numCache>
                <c:formatCode>General</c:formatCode>
                <c:ptCount val="2"/>
                <c:pt idx="0">
                  <c:v>0.35909090909090935</c:v>
                </c:pt>
                <c:pt idx="1">
                  <c:v>0.25</c:v>
                </c:pt>
              </c:numCache>
            </c:numRef>
          </c:yVal>
          <c:smooth val="0"/>
          <c:extLst>
            <c:ext xmlns:c16="http://schemas.microsoft.com/office/drawing/2014/chart" uri="{C3380CC4-5D6E-409C-BE32-E72D297353CC}">
              <c16:uniqueId val="{0000001A-5010-482F-BF45-65020AEAD241}"/>
            </c:ext>
          </c:extLst>
        </c:ser>
        <c:dLbls>
          <c:showLegendKey val="0"/>
          <c:showVal val="0"/>
          <c:showCatName val="0"/>
          <c:showSerName val="0"/>
          <c:showPercent val="0"/>
          <c:showBubbleSize val="0"/>
        </c:dLbls>
        <c:axId val="2117009407"/>
        <c:axId val="1183845983"/>
      </c:scatterChart>
      <c:valAx>
        <c:axId val="2117009407"/>
        <c:scaling>
          <c:orientation val="minMax"/>
          <c:max val="80"/>
          <c:min val="0"/>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845983"/>
        <c:crosses val="autoZero"/>
        <c:crossBetween val="midCat"/>
      </c:valAx>
      <c:valAx>
        <c:axId val="1183845983"/>
        <c:scaling>
          <c:orientation val="minMax"/>
          <c:max val="5"/>
          <c:min val="0"/>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0094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tx>
            <c:strRef>
              <c:f>Backend_RPS!$J$3</c:f>
              <c:strCache>
                <c:ptCount val="1"/>
                <c:pt idx="0">
                  <c:v>Radius</c:v>
                </c:pt>
              </c:strCache>
            </c:strRef>
          </c:tx>
          <c:spPr>
            <a:ln w="355600" cap="rnd">
              <a:solidFill>
                <a:schemeClr val="accent6"/>
              </a:solidFill>
              <a:round/>
              <a:tailEnd type="none"/>
            </a:ln>
            <a:effectLst/>
          </c:spPr>
          <c:marker>
            <c:symbol val="none"/>
          </c:marker>
          <c:xVal>
            <c:numRef>
              <c:f>Backend_RPS!$AA$3:$AB$3</c:f>
              <c:numCache>
                <c:formatCode>General</c:formatCode>
                <c:ptCount val="2"/>
                <c:pt idx="0">
                  <c:v>85</c:v>
                </c:pt>
                <c:pt idx="1">
                  <c:v>61</c:v>
                </c:pt>
              </c:numCache>
            </c:numRef>
          </c:xVal>
          <c:yVal>
            <c:numRef>
              <c:f>Backend_RPS!$AC$3:$AD$3</c:f>
              <c:numCache>
                <c:formatCode>General</c:formatCode>
                <c:ptCount val="2"/>
                <c:pt idx="0">
                  <c:v>1.7999999999999998</c:v>
                </c:pt>
                <c:pt idx="1">
                  <c:v>1.7999999999999998</c:v>
                </c:pt>
              </c:numCache>
            </c:numRef>
          </c:yVal>
          <c:smooth val="0"/>
          <c:extLst>
            <c:ext xmlns:c16="http://schemas.microsoft.com/office/drawing/2014/chart" uri="{C3380CC4-5D6E-409C-BE32-E72D297353CC}">
              <c16:uniqueId val="{00000036-6BD9-4396-A40C-88EF12903169}"/>
            </c:ext>
          </c:extLst>
        </c:ser>
        <c:ser>
          <c:idx val="1"/>
          <c:order val="1"/>
          <c:tx>
            <c:strRef>
              <c:f>Backend_RPS!$J$4</c:f>
              <c:strCache>
                <c:ptCount val="1"/>
                <c:pt idx="0">
                  <c:v>Ulna</c:v>
                </c:pt>
              </c:strCache>
            </c:strRef>
          </c:tx>
          <c:spPr>
            <a:ln w="254000" cap="rnd">
              <a:solidFill>
                <a:schemeClr val="accent6"/>
              </a:solidFill>
              <a:round/>
              <a:tailEnd type="none"/>
            </a:ln>
            <a:effectLst/>
          </c:spPr>
          <c:marker>
            <c:symbol val="none"/>
          </c:marker>
          <c:xVal>
            <c:numRef>
              <c:f>Backend_RPS!$AA$4:$AB$4</c:f>
              <c:numCache>
                <c:formatCode>General</c:formatCode>
                <c:ptCount val="2"/>
                <c:pt idx="0">
                  <c:v>85</c:v>
                </c:pt>
                <c:pt idx="1">
                  <c:v>61</c:v>
                </c:pt>
              </c:numCache>
            </c:numRef>
          </c:xVal>
          <c:yVal>
            <c:numRef>
              <c:f>Backend_RPS!$AC$4:$AD$4</c:f>
              <c:numCache>
                <c:formatCode>General</c:formatCode>
                <c:ptCount val="2"/>
                <c:pt idx="0">
                  <c:v>2.7</c:v>
                </c:pt>
                <c:pt idx="1">
                  <c:v>2.7</c:v>
                </c:pt>
              </c:numCache>
            </c:numRef>
          </c:yVal>
          <c:smooth val="0"/>
          <c:extLst>
            <c:ext xmlns:c16="http://schemas.microsoft.com/office/drawing/2014/chart" uri="{C3380CC4-5D6E-409C-BE32-E72D297353CC}">
              <c16:uniqueId val="{00000037-6BD9-4396-A40C-88EF12903169}"/>
            </c:ext>
          </c:extLst>
        </c:ser>
        <c:ser>
          <c:idx val="2"/>
          <c:order val="2"/>
          <c:tx>
            <c:strRef>
              <c:f>Backend_RPS!$J$5</c:f>
              <c:strCache>
                <c:ptCount val="1"/>
                <c:pt idx="0">
                  <c:v>Carpals Proxy 1</c:v>
                </c:pt>
              </c:strCache>
            </c:strRef>
          </c:tx>
          <c:spPr>
            <a:ln w="254000" cap="rnd">
              <a:solidFill>
                <a:schemeClr val="accent6"/>
              </a:solidFill>
              <a:round/>
              <a:tailEnd type="none"/>
            </a:ln>
            <a:effectLst/>
          </c:spPr>
          <c:marker>
            <c:symbol val="none"/>
          </c:marker>
          <c:xVal>
            <c:numRef>
              <c:f>Backend_RPS!$AA$5:$AB$5</c:f>
              <c:numCache>
                <c:formatCode>General</c:formatCode>
                <c:ptCount val="2"/>
                <c:pt idx="0">
                  <c:v>67</c:v>
                </c:pt>
                <c:pt idx="1">
                  <c:v>55</c:v>
                </c:pt>
              </c:numCache>
            </c:numRef>
          </c:xVal>
          <c:yVal>
            <c:numRef>
              <c:f>Backend_RPS!$AC$5:$AD$5</c:f>
              <c:numCache>
                <c:formatCode>General</c:formatCode>
                <c:ptCount val="2"/>
                <c:pt idx="0">
                  <c:v>2.85</c:v>
                </c:pt>
                <c:pt idx="1">
                  <c:v>3.1</c:v>
                </c:pt>
              </c:numCache>
            </c:numRef>
          </c:yVal>
          <c:smooth val="0"/>
          <c:extLst>
            <c:ext xmlns:c16="http://schemas.microsoft.com/office/drawing/2014/chart" uri="{C3380CC4-5D6E-409C-BE32-E72D297353CC}">
              <c16:uniqueId val="{00000038-6BD9-4396-A40C-88EF12903169}"/>
            </c:ext>
          </c:extLst>
        </c:ser>
        <c:ser>
          <c:idx val="3"/>
          <c:order val="3"/>
          <c:tx>
            <c:strRef>
              <c:f>Backend_RPS!$J$6</c:f>
              <c:strCache>
                <c:ptCount val="1"/>
                <c:pt idx="0">
                  <c:v>Carpals Proxy 2</c:v>
                </c:pt>
              </c:strCache>
            </c:strRef>
          </c:tx>
          <c:spPr>
            <a:ln w="254000" cap="rnd">
              <a:solidFill>
                <a:schemeClr val="accent6"/>
              </a:solidFill>
              <a:round/>
              <a:tailEnd type="none"/>
            </a:ln>
            <a:effectLst/>
          </c:spPr>
          <c:marker>
            <c:symbol val="none"/>
          </c:marker>
          <c:xVal>
            <c:numRef>
              <c:f>Backend_RPS!$AA$6:$AB$6</c:f>
              <c:numCache>
                <c:formatCode>General</c:formatCode>
                <c:ptCount val="2"/>
                <c:pt idx="0">
                  <c:v>55</c:v>
                </c:pt>
                <c:pt idx="1">
                  <c:v>55</c:v>
                </c:pt>
              </c:numCache>
            </c:numRef>
          </c:xVal>
          <c:yVal>
            <c:numRef>
              <c:f>Backend_RPS!$AC$6:$AD$6</c:f>
              <c:numCache>
                <c:formatCode>General</c:formatCode>
                <c:ptCount val="2"/>
                <c:pt idx="0">
                  <c:v>3.1</c:v>
                </c:pt>
                <c:pt idx="1">
                  <c:v>1.2999999999999998</c:v>
                </c:pt>
              </c:numCache>
            </c:numRef>
          </c:yVal>
          <c:smooth val="0"/>
          <c:extLst>
            <c:ext xmlns:c16="http://schemas.microsoft.com/office/drawing/2014/chart" uri="{C3380CC4-5D6E-409C-BE32-E72D297353CC}">
              <c16:uniqueId val="{00000039-6BD9-4396-A40C-88EF12903169}"/>
            </c:ext>
          </c:extLst>
        </c:ser>
        <c:ser>
          <c:idx val="4"/>
          <c:order val="4"/>
          <c:tx>
            <c:strRef>
              <c:f>Backend_RPS!$J$7</c:f>
              <c:strCache>
                <c:ptCount val="1"/>
                <c:pt idx="0">
                  <c:v>Carpals Proxy 3</c:v>
                </c:pt>
              </c:strCache>
            </c:strRef>
          </c:tx>
          <c:spPr>
            <a:ln w="254000" cap="rnd">
              <a:solidFill>
                <a:schemeClr val="accent6"/>
              </a:solidFill>
              <a:round/>
              <a:tailEnd type="none"/>
            </a:ln>
            <a:effectLst/>
          </c:spPr>
          <c:marker>
            <c:symbol val="none"/>
          </c:marker>
          <c:xVal>
            <c:numRef>
              <c:f>Backend_RPS!$AA$7:$AB$7</c:f>
              <c:numCache>
                <c:formatCode>General</c:formatCode>
                <c:ptCount val="2"/>
                <c:pt idx="0">
                  <c:v>55</c:v>
                </c:pt>
                <c:pt idx="1">
                  <c:v>67</c:v>
                </c:pt>
              </c:numCache>
            </c:numRef>
          </c:xVal>
          <c:yVal>
            <c:numRef>
              <c:f>Backend_RPS!$AC$7:$AD$7</c:f>
              <c:numCache>
                <c:formatCode>General</c:formatCode>
                <c:ptCount val="2"/>
                <c:pt idx="0">
                  <c:v>1.2999999999999998</c:v>
                </c:pt>
                <c:pt idx="1">
                  <c:v>1.5499999999999998</c:v>
                </c:pt>
              </c:numCache>
            </c:numRef>
          </c:yVal>
          <c:smooth val="0"/>
          <c:extLst>
            <c:ext xmlns:c16="http://schemas.microsoft.com/office/drawing/2014/chart" uri="{C3380CC4-5D6E-409C-BE32-E72D297353CC}">
              <c16:uniqueId val="{0000003A-6BD9-4396-A40C-88EF12903169}"/>
            </c:ext>
          </c:extLst>
        </c:ser>
        <c:ser>
          <c:idx val="5"/>
          <c:order val="5"/>
          <c:tx>
            <c:strRef>
              <c:f>Backend_RPS!$J$8</c:f>
              <c:strCache>
                <c:ptCount val="1"/>
                <c:pt idx="0">
                  <c:v>Carpals Proxy 4</c:v>
                </c:pt>
              </c:strCache>
            </c:strRef>
          </c:tx>
          <c:spPr>
            <a:ln w="254000" cap="rnd">
              <a:solidFill>
                <a:schemeClr val="accent6"/>
              </a:solidFill>
              <a:round/>
              <a:tailEnd type="none"/>
            </a:ln>
            <a:effectLst/>
          </c:spPr>
          <c:marker>
            <c:symbol val="none"/>
          </c:marker>
          <c:xVal>
            <c:numRef>
              <c:f>Backend_RPS!$AA$8:$AB$8</c:f>
              <c:numCache>
                <c:formatCode>General</c:formatCode>
                <c:ptCount val="2"/>
                <c:pt idx="0">
                  <c:v>67</c:v>
                </c:pt>
                <c:pt idx="1">
                  <c:v>67</c:v>
                </c:pt>
              </c:numCache>
            </c:numRef>
          </c:xVal>
          <c:yVal>
            <c:numRef>
              <c:f>Backend_RPS!$AC$8:$AD$8</c:f>
              <c:numCache>
                <c:formatCode>General</c:formatCode>
                <c:ptCount val="2"/>
                <c:pt idx="0">
                  <c:v>1.5499999999999998</c:v>
                </c:pt>
                <c:pt idx="1">
                  <c:v>2.85</c:v>
                </c:pt>
              </c:numCache>
            </c:numRef>
          </c:yVal>
          <c:smooth val="0"/>
          <c:extLst>
            <c:ext xmlns:c16="http://schemas.microsoft.com/office/drawing/2014/chart" uri="{C3380CC4-5D6E-409C-BE32-E72D297353CC}">
              <c16:uniqueId val="{0000003B-6BD9-4396-A40C-88EF12903169}"/>
            </c:ext>
          </c:extLst>
        </c:ser>
        <c:ser>
          <c:idx val="6"/>
          <c:order val="6"/>
          <c:tx>
            <c:strRef>
              <c:f>Backend_RPS!$J$9</c:f>
              <c:strCache>
                <c:ptCount val="1"/>
                <c:pt idx="0">
                  <c:v>Carpals Proxy 5</c:v>
                </c:pt>
              </c:strCache>
            </c:strRef>
          </c:tx>
          <c:spPr>
            <a:ln w="762000" cap="rnd">
              <a:solidFill>
                <a:schemeClr val="accent6"/>
              </a:solidFill>
              <a:round/>
              <a:tailEnd type="none"/>
            </a:ln>
            <a:effectLst/>
          </c:spPr>
          <c:marker>
            <c:symbol val="none"/>
          </c:marker>
          <c:xVal>
            <c:numRef>
              <c:f>Backend_RPS!$AA$9:$AB$9</c:f>
              <c:numCache>
                <c:formatCode>General</c:formatCode>
                <c:ptCount val="2"/>
                <c:pt idx="0">
                  <c:v>61</c:v>
                </c:pt>
                <c:pt idx="1">
                  <c:v>61</c:v>
                </c:pt>
              </c:numCache>
            </c:numRef>
          </c:xVal>
          <c:yVal>
            <c:numRef>
              <c:f>Backend_RPS!$AC$9:$AD$9</c:f>
              <c:numCache>
                <c:formatCode>General</c:formatCode>
                <c:ptCount val="2"/>
                <c:pt idx="0">
                  <c:v>2.3000000000000003</c:v>
                </c:pt>
                <c:pt idx="1">
                  <c:v>2.1</c:v>
                </c:pt>
              </c:numCache>
            </c:numRef>
          </c:yVal>
          <c:smooth val="0"/>
          <c:extLst>
            <c:ext xmlns:c16="http://schemas.microsoft.com/office/drawing/2014/chart" uri="{C3380CC4-5D6E-409C-BE32-E72D297353CC}">
              <c16:uniqueId val="{0000003C-6BD9-4396-A40C-88EF12903169}"/>
            </c:ext>
          </c:extLst>
        </c:ser>
        <c:ser>
          <c:idx val="7"/>
          <c:order val="7"/>
          <c:tx>
            <c:strRef>
              <c:f>Backend_RPS!$J$10</c:f>
              <c:strCache>
                <c:ptCount val="1"/>
                <c:pt idx="0">
                  <c:v>Distal Phalanges (T)</c:v>
                </c:pt>
              </c:strCache>
            </c:strRef>
          </c:tx>
          <c:spPr>
            <a:ln w="133350" cap="rnd" cmpd="sng" algn="ctr">
              <a:solidFill>
                <a:srgbClr val="009245"/>
              </a:solidFill>
              <a:prstDash val="solid"/>
              <a:round/>
              <a:headEnd type="none" w="med" len="med"/>
              <a:tailEnd type="oval" w="sm" len="sm"/>
            </a:ln>
            <a:effectLst/>
          </c:spPr>
          <c:marker>
            <c:symbol val="none"/>
          </c:marker>
          <c:xVal>
            <c:numRef>
              <c:f>Backend_RPS!$AA$10:$AB$10</c:f>
              <c:numCache>
                <c:formatCode>General</c:formatCode>
                <c:ptCount val="2"/>
                <c:pt idx="0">
                  <c:v>61</c:v>
                </c:pt>
                <c:pt idx="1">
                  <c:v>48.060235705392465</c:v>
                </c:pt>
              </c:numCache>
            </c:numRef>
          </c:xVal>
          <c:yVal>
            <c:numRef>
              <c:f>Backend_RPS!$AC$10:$AD$10</c:f>
              <c:numCache>
                <c:formatCode>General</c:formatCode>
                <c:ptCount val="2"/>
                <c:pt idx="0">
                  <c:v>3</c:v>
                </c:pt>
                <c:pt idx="1">
                  <c:v>4.25</c:v>
                </c:pt>
              </c:numCache>
            </c:numRef>
          </c:yVal>
          <c:smooth val="0"/>
          <c:extLst>
            <c:ext xmlns:c16="http://schemas.microsoft.com/office/drawing/2014/chart" uri="{C3380CC4-5D6E-409C-BE32-E72D297353CC}">
              <c16:uniqueId val="{0000003D-6BD9-4396-A40C-88EF12903169}"/>
            </c:ext>
          </c:extLst>
        </c:ser>
        <c:ser>
          <c:idx val="8"/>
          <c:order val="8"/>
          <c:tx>
            <c:strRef>
              <c:f>Backend_RPS!$J$11</c:f>
              <c:strCache>
                <c:ptCount val="1"/>
                <c:pt idx="0">
                  <c:v>Middle Phalanges (T)</c:v>
                </c:pt>
              </c:strCache>
            </c:strRef>
          </c:tx>
          <c:spPr>
            <a:ln w="133350" cap="rnd" cmpd="sng" algn="ctr">
              <a:solidFill>
                <a:srgbClr val="00B63E"/>
              </a:solidFill>
              <a:prstDash val="solid"/>
              <a:round/>
              <a:headEnd type="none" w="med" len="med"/>
              <a:tailEnd type="oval" w="sm" len="sm"/>
            </a:ln>
            <a:effectLst/>
          </c:spPr>
          <c:marker>
            <c:symbol val="none"/>
          </c:marker>
          <c:xVal>
            <c:numRef>
              <c:f>Backend_RPS!$AA$11:$AB$11</c:f>
              <c:numCache>
                <c:formatCode>General</c:formatCode>
                <c:ptCount val="2"/>
                <c:pt idx="0">
                  <c:v>48.060235705392465</c:v>
                </c:pt>
                <c:pt idx="1">
                  <c:v>47.010717909780695</c:v>
                </c:pt>
              </c:numCache>
            </c:numRef>
          </c:xVal>
          <c:yVal>
            <c:numRef>
              <c:f>Backend_RPS!$AC$11:$AD$11</c:f>
              <c:numCache>
                <c:formatCode>General</c:formatCode>
                <c:ptCount val="2"/>
                <c:pt idx="0">
                  <c:v>4.25</c:v>
                </c:pt>
                <c:pt idx="1">
                  <c:v>4.2818181818181822</c:v>
                </c:pt>
              </c:numCache>
            </c:numRef>
          </c:yVal>
          <c:smooth val="0"/>
          <c:extLst>
            <c:ext xmlns:c16="http://schemas.microsoft.com/office/drawing/2014/chart" uri="{C3380CC4-5D6E-409C-BE32-E72D297353CC}">
              <c16:uniqueId val="{0000003E-6BD9-4396-A40C-88EF12903169}"/>
            </c:ext>
          </c:extLst>
        </c:ser>
        <c:ser>
          <c:idx val="9"/>
          <c:order val="9"/>
          <c:tx>
            <c:strRef>
              <c:f>Backend_RPS!$J$12</c:f>
              <c:strCache>
                <c:ptCount val="1"/>
                <c:pt idx="0">
                  <c:v>Proximal Phalanges (T)</c:v>
                </c:pt>
              </c:strCache>
            </c:strRef>
          </c:tx>
          <c:spPr>
            <a:ln w="133350" cap="rnd" cmpd="sng" algn="ctr">
              <a:solidFill>
                <a:srgbClr val="8CC63F"/>
              </a:solidFill>
              <a:prstDash val="solid"/>
              <a:round/>
              <a:headEnd type="none" w="med" len="med"/>
              <a:tailEnd type="oval" w="sm" len="sm"/>
            </a:ln>
            <a:effectLst/>
          </c:spPr>
          <c:marker>
            <c:symbol val="none"/>
          </c:marker>
          <c:xVal>
            <c:numRef>
              <c:f>Backend_RPS!$AA$12:$AB$12</c:f>
              <c:numCache>
                <c:formatCode>General</c:formatCode>
                <c:ptCount val="2"/>
                <c:pt idx="0">
                  <c:v>47.010717909780695</c:v>
                </c:pt>
                <c:pt idx="1">
                  <c:v>47.010717909780695</c:v>
                </c:pt>
              </c:numCache>
            </c:numRef>
          </c:xVal>
          <c:yVal>
            <c:numRef>
              <c:f>Backend_RPS!$AC$12:$AD$12</c:f>
              <c:numCache>
                <c:formatCode>General</c:formatCode>
                <c:ptCount val="2"/>
                <c:pt idx="0">
                  <c:v>4.2818181818181822</c:v>
                </c:pt>
                <c:pt idx="1">
                  <c:v>4.2818181818181822</c:v>
                </c:pt>
              </c:numCache>
            </c:numRef>
          </c:yVal>
          <c:smooth val="0"/>
          <c:extLst>
            <c:ext xmlns:c16="http://schemas.microsoft.com/office/drawing/2014/chart" uri="{C3380CC4-5D6E-409C-BE32-E72D297353CC}">
              <c16:uniqueId val="{0000003F-6BD9-4396-A40C-88EF12903169}"/>
            </c:ext>
          </c:extLst>
        </c:ser>
        <c:ser>
          <c:idx val="10"/>
          <c:order val="10"/>
          <c:tx>
            <c:strRef>
              <c:f>Backend_RPS!$J$13</c:f>
              <c:strCache>
                <c:ptCount val="1"/>
                <c:pt idx="0">
                  <c:v>Metacarpals (T)</c:v>
                </c:pt>
              </c:strCache>
            </c:strRef>
          </c:tx>
          <c:spPr>
            <a:ln w="133350" cap="rnd">
              <a:solidFill>
                <a:srgbClr val="D9E021"/>
              </a:solidFill>
              <a:round/>
              <a:tailEnd type="none"/>
            </a:ln>
            <a:effectLst/>
          </c:spPr>
          <c:marker>
            <c:symbol val="none"/>
          </c:marker>
          <c:xVal>
            <c:numRef>
              <c:f>Backend_RPS!$AA$13:$AB$13</c:f>
              <c:numCache>
                <c:formatCode>General</c:formatCode>
                <c:ptCount val="2"/>
                <c:pt idx="0">
                  <c:v>47.010717909780695</c:v>
                </c:pt>
                <c:pt idx="1">
                  <c:v>50.459133523933652</c:v>
                </c:pt>
              </c:numCache>
            </c:numRef>
          </c:xVal>
          <c:yVal>
            <c:numRef>
              <c:f>Backend_RPS!$AC$13:$AD$13</c:f>
              <c:numCache>
                <c:formatCode>General</c:formatCode>
                <c:ptCount val="2"/>
                <c:pt idx="0">
                  <c:v>4.2818181818181822</c:v>
                </c:pt>
                <c:pt idx="1">
                  <c:v>4.1772727272727277</c:v>
                </c:pt>
              </c:numCache>
            </c:numRef>
          </c:yVal>
          <c:smooth val="0"/>
          <c:extLst>
            <c:ext xmlns:c16="http://schemas.microsoft.com/office/drawing/2014/chart" uri="{C3380CC4-5D6E-409C-BE32-E72D297353CC}">
              <c16:uniqueId val="{00000040-6BD9-4396-A40C-88EF12903169}"/>
            </c:ext>
          </c:extLst>
        </c:ser>
        <c:ser>
          <c:idx val="11"/>
          <c:order val="11"/>
          <c:tx>
            <c:strRef>
              <c:f>Backend_RPS!$J$14</c:f>
              <c:strCache>
                <c:ptCount val="1"/>
                <c:pt idx="0">
                  <c:v>Distal Phalanges (I)</c:v>
                </c:pt>
              </c:strCache>
            </c:strRef>
          </c:tx>
          <c:spPr>
            <a:ln w="133350" cap="rnd" cmpd="sng" algn="ctr">
              <a:solidFill>
                <a:srgbClr val="009245"/>
              </a:solidFill>
              <a:prstDash val="solid"/>
              <a:round/>
              <a:headEnd type="none" w="med" len="med"/>
              <a:tailEnd type="oval" w="sm" len="sm"/>
            </a:ln>
            <a:effectLst/>
          </c:spPr>
          <c:marker>
            <c:symbol val="none"/>
          </c:marker>
          <c:xVal>
            <c:numRef>
              <c:f>Backend_RPS!$AA$14:$AB$14</c:f>
              <c:numCache>
                <c:formatCode>General</c:formatCode>
                <c:ptCount val="2"/>
                <c:pt idx="0">
                  <c:v>59</c:v>
                </c:pt>
                <c:pt idx="1">
                  <c:v>36.00266319766569</c:v>
                </c:pt>
              </c:numCache>
            </c:numRef>
          </c:xVal>
          <c:yVal>
            <c:numRef>
              <c:f>Backend_RPS!$AC$14:$AD$14</c:f>
              <c:numCache>
                <c:formatCode>General</c:formatCode>
                <c:ptCount val="2"/>
                <c:pt idx="0">
                  <c:v>2.75</c:v>
                </c:pt>
                <c:pt idx="1">
                  <c:v>3.1</c:v>
                </c:pt>
              </c:numCache>
            </c:numRef>
          </c:yVal>
          <c:smooth val="0"/>
          <c:extLst>
            <c:ext xmlns:c16="http://schemas.microsoft.com/office/drawing/2014/chart" uri="{C3380CC4-5D6E-409C-BE32-E72D297353CC}">
              <c16:uniqueId val="{00000041-6BD9-4396-A40C-88EF12903169}"/>
            </c:ext>
          </c:extLst>
        </c:ser>
        <c:ser>
          <c:idx val="12"/>
          <c:order val="12"/>
          <c:tx>
            <c:strRef>
              <c:f>Backend_RPS!$J$15</c:f>
              <c:strCache>
                <c:ptCount val="1"/>
                <c:pt idx="0">
                  <c:v>Middle Phalanges (I)</c:v>
                </c:pt>
              </c:strCache>
            </c:strRef>
          </c:tx>
          <c:spPr>
            <a:ln w="133350" cap="rnd" cmpd="sng" algn="ctr">
              <a:solidFill>
                <a:srgbClr val="00B63E"/>
              </a:solidFill>
              <a:prstDash val="solid"/>
              <a:round/>
              <a:headEnd type="none" w="med" len="med"/>
              <a:tailEnd type="oval" w="sm" len="sm"/>
            </a:ln>
            <a:effectLst/>
          </c:spPr>
          <c:marker>
            <c:symbol val="none"/>
          </c:marker>
          <c:xVal>
            <c:numRef>
              <c:f>Backend_RPS!$AA$15:$AB$15</c:f>
              <c:numCache>
                <c:formatCode>General</c:formatCode>
                <c:ptCount val="2"/>
                <c:pt idx="0">
                  <c:v>36.00266319766569</c:v>
                </c:pt>
                <c:pt idx="1">
                  <c:v>34.502683263198236</c:v>
                </c:pt>
              </c:numCache>
            </c:numRef>
          </c:xVal>
          <c:yVal>
            <c:numRef>
              <c:f>Backend_RPS!$AC$15:$AD$15</c:f>
              <c:numCache>
                <c:formatCode>General</c:formatCode>
                <c:ptCount val="2"/>
                <c:pt idx="0">
                  <c:v>3.1</c:v>
                </c:pt>
                <c:pt idx="1">
                  <c:v>3.1077586206896552</c:v>
                </c:pt>
              </c:numCache>
            </c:numRef>
          </c:yVal>
          <c:smooth val="0"/>
          <c:extLst>
            <c:ext xmlns:c16="http://schemas.microsoft.com/office/drawing/2014/chart" uri="{C3380CC4-5D6E-409C-BE32-E72D297353CC}">
              <c16:uniqueId val="{00000042-6BD9-4396-A40C-88EF12903169}"/>
            </c:ext>
          </c:extLst>
        </c:ser>
        <c:ser>
          <c:idx val="13"/>
          <c:order val="13"/>
          <c:tx>
            <c:strRef>
              <c:f>Backend_RPS!$J$16</c:f>
              <c:strCache>
                <c:ptCount val="1"/>
                <c:pt idx="0">
                  <c:v>Proximal Phalanges (I)</c:v>
                </c:pt>
              </c:strCache>
            </c:strRef>
          </c:tx>
          <c:spPr>
            <a:ln w="133350" cap="rnd" cmpd="sng" algn="ctr">
              <a:solidFill>
                <a:srgbClr val="8CC63F"/>
              </a:solidFill>
              <a:prstDash val="solid"/>
              <a:round/>
              <a:headEnd type="none" w="med" len="med"/>
              <a:tailEnd type="oval" w="sm" len="sm"/>
            </a:ln>
            <a:effectLst/>
          </c:spPr>
          <c:marker>
            <c:symbol val="none"/>
          </c:marker>
          <c:xVal>
            <c:numRef>
              <c:f>Backend_RPS!$AA$16:$AB$16</c:f>
              <c:numCache>
                <c:formatCode>General</c:formatCode>
                <c:ptCount val="2"/>
                <c:pt idx="0">
                  <c:v>34.502683263198236</c:v>
                </c:pt>
                <c:pt idx="1">
                  <c:v>39.677614037110956</c:v>
                </c:pt>
              </c:numCache>
            </c:numRef>
          </c:xVal>
          <c:yVal>
            <c:numRef>
              <c:f>Backend_RPS!$AC$16:$AD$16</c:f>
              <c:numCache>
                <c:formatCode>General</c:formatCode>
                <c:ptCount val="2"/>
                <c:pt idx="0">
                  <c:v>3.1077586206896552</c:v>
                </c:pt>
                <c:pt idx="1">
                  <c:v>3.0809913793103449</c:v>
                </c:pt>
              </c:numCache>
            </c:numRef>
          </c:yVal>
          <c:smooth val="0"/>
          <c:extLst>
            <c:ext xmlns:c16="http://schemas.microsoft.com/office/drawing/2014/chart" uri="{C3380CC4-5D6E-409C-BE32-E72D297353CC}">
              <c16:uniqueId val="{00000043-6BD9-4396-A40C-88EF12903169}"/>
            </c:ext>
          </c:extLst>
        </c:ser>
        <c:ser>
          <c:idx val="14"/>
          <c:order val="14"/>
          <c:tx>
            <c:strRef>
              <c:f>Backend_RPS!$J$17</c:f>
              <c:strCache>
                <c:ptCount val="1"/>
                <c:pt idx="0">
                  <c:v>Metacarpals (I)</c:v>
                </c:pt>
              </c:strCache>
            </c:strRef>
          </c:tx>
          <c:spPr>
            <a:ln w="133350" cap="rnd">
              <a:solidFill>
                <a:srgbClr val="D9E021"/>
              </a:solidFill>
              <a:round/>
              <a:tailEnd type="none"/>
            </a:ln>
            <a:effectLst/>
          </c:spPr>
          <c:marker>
            <c:symbol val="none"/>
          </c:marker>
          <c:xVal>
            <c:numRef>
              <c:f>Backend_RPS!$AA$17:$AB$17</c:f>
              <c:numCache>
                <c:formatCode>General</c:formatCode>
                <c:ptCount val="2"/>
                <c:pt idx="0">
                  <c:v>39.677614037110956</c:v>
                </c:pt>
                <c:pt idx="1">
                  <c:v>44.677547152002475</c:v>
                </c:pt>
              </c:numCache>
            </c:numRef>
          </c:xVal>
          <c:yVal>
            <c:numRef>
              <c:f>Backend_RPS!$AC$17:$AD$17</c:f>
              <c:numCache>
                <c:formatCode>General</c:formatCode>
                <c:ptCount val="2"/>
                <c:pt idx="0">
                  <c:v>3.0809913793103449</c:v>
                </c:pt>
                <c:pt idx="1">
                  <c:v>3.055129310344828</c:v>
                </c:pt>
              </c:numCache>
            </c:numRef>
          </c:yVal>
          <c:smooth val="0"/>
          <c:extLst>
            <c:ext xmlns:c16="http://schemas.microsoft.com/office/drawing/2014/chart" uri="{C3380CC4-5D6E-409C-BE32-E72D297353CC}">
              <c16:uniqueId val="{00000044-6BD9-4396-A40C-88EF12903169}"/>
            </c:ext>
          </c:extLst>
        </c:ser>
        <c:ser>
          <c:idx val="15"/>
          <c:order val="15"/>
          <c:tx>
            <c:strRef>
              <c:f>Backend_RPS!$J$18</c:f>
              <c:strCache>
                <c:ptCount val="1"/>
                <c:pt idx="0">
                  <c:v>Distal Phalanges (M)</c:v>
                </c:pt>
              </c:strCache>
            </c:strRef>
          </c:tx>
          <c:spPr>
            <a:ln w="133350" cap="rnd" cmpd="sng" algn="ctr">
              <a:solidFill>
                <a:srgbClr val="009245"/>
              </a:solidFill>
              <a:prstDash val="solid"/>
              <a:round/>
              <a:headEnd type="none" w="med" len="med"/>
              <a:tailEnd type="oval" w="sm" len="sm"/>
            </a:ln>
            <a:effectLst/>
          </c:spPr>
          <c:marker>
            <c:symbol val="none"/>
          </c:marker>
          <c:xVal>
            <c:numRef>
              <c:f>Backend_RPS!$AA$18:$AB$18</c:f>
              <c:numCache>
                <c:formatCode>General</c:formatCode>
                <c:ptCount val="2"/>
                <c:pt idx="0">
                  <c:v>58.8</c:v>
                </c:pt>
                <c:pt idx="1">
                  <c:v>35.800054347890296</c:v>
                </c:pt>
              </c:numCache>
            </c:numRef>
          </c:xVal>
          <c:yVal>
            <c:numRef>
              <c:f>Backend_RPS!$AC$18:$AD$18</c:f>
              <c:numCache>
                <c:formatCode>General</c:formatCode>
                <c:ptCount val="2"/>
                <c:pt idx="0">
                  <c:v>2.2999999999999998</c:v>
                </c:pt>
                <c:pt idx="1">
                  <c:v>2.25</c:v>
                </c:pt>
              </c:numCache>
            </c:numRef>
          </c:yVal>
          <c:smooth val="0"/>
          <c:extLst>
            <c:ext xmlns:c16="http://schemas.microsoft.com/office/drawing/2014/chart" uri="{C3380CC4-5D6E-409C-BE32-E72D297353CC}">
              <c16:uniqueId val="{00000045-6BD9-4396-A40C-88EF12903169}"/>
            </c:ext>
          </c:extLst>
        </c:ser>
        <c:ser>
          <c:idx val="16"/>
          <c:order val="16"/>
          <c:tx>
            <c:strRef>
              <c:f>Backend_RPS!$J$19</c:f>
              <c:strCache>
                <c:ptCount val="1"/>
                <c:pt idx="0">
                  <c:v>Middle Phalanges (M)</c:v>
                </c:pt>
              </c:strCache>
            </c:strRef>
          </c:tx>
          <c:spPr>
            <a:ln w="133350" cap="rnd" cmpd="sng" algn="ctr">
              <a:solidFill>
                <a:srgbClr val="00B63E"/>
              </a:solidFill>
              <a:prstDash val="solid"/>
              <a:round/>
              <a:headEnd type="none" w="med" len="med"/>
              <a:tailEnd type="oval" w="sm" len="sm"/>
            </a:ln>
            <a:effectLst/>
          </c:spPr>
          <c:marker>
            <c:symbol val="none"/>
          </c:marker>
          <c:xVal>
            <c:numRef>
              <c:f>Backend_RPS!$AA$19:$AB$19</c:f>
              <c:numCache>
                <c:formatCode>General</c:formatCode>
                <c:ptCount val="2"/>
                <c:pt idx="0">
                  <c:v>35.800054347890296</c:v>
                </c:pt>
                <c:pt idx="1">
                  <c:v>34.100062153234198</c:v>
                </c:pt>
              </c:numCache>
            </c:numRef>
          </c:xVal>
          <c:yVal>
            <c:numRef>
              <c:f>Backend_RPS!$AC$19:$AD$19</c:f>
              <c:numCache>
                <c:formatCode>General</c:formatCode>
                <c:ptCount val="2"/>
                <c:pt idx="0">
                  <c:v>2.25</c:v>
                </c:pt>
                <c:pt idx="1">
                  <c:v>2.2448484848484846</c:v>
                </c:pt>
              </c:numCache>
            </c:numRef>
          </c:yVal>
          <c:smooth val="0"/>
          <c:extLst>
            <c:ext xmlns:c16="http://schemas.microsoft.com/office/drawing/2014/chart" uri="{C3380CC4-5D6E-409C-BE32-E72D297353CC}">
              <c16:uniqueId val="{00000046-6BD9-4396-A40C-88EF12903169}"/>
            </c:ext>
          </c:extLst>
        </c:ser>
        <c:ser>
          <c:idx val="17"/>
          <c:order val="17"/>
          <c:tx>
            <c:strRef>
              <c:f>Backend_RPS!$J$20</c:f>
              <c:strCache>
                <c:ptCount val="1"/>
                <c:pt idx="0">
                  <c:v>Proximal Phalanges (M)</c:v>
                </c:pt>
              </c:strCache>
            </c:strRef>
          </c:tx>
          <c:spPr>
            <a:ln w="133350" cap="rnd" cmpd="sng" algn="ctr">
              <a:solidFill>
                <a:srgbClr val="8CC63F"/>
              </a:solidFill>
              <a:prstDash val="solid"/>
              <a:round/>
              <a:headEnd type="none" w="med" len="med"/>
              <a:tailEnd type="oval" w="sm" len="sm"/>
            </a:ln>
            <a:effectLst/>
          </c:spPr>
          <c:marker>
            <c:symbol val="none"/>
          </c:marker>
          <c:xVal>
            <c:numRef>
              <c:f>Backend_RPS!$AA$20:$AB$20</c:f>
              <c:numCache>
                <c:formatCode>General</c:formatCode>
                <c:ptCount val="2"/>
                <c:pt idx="0">
                  <c:v>34.100062153234198</c:v>
                </c:pt>
                <c:pt idx="1">
                  <c:v>40.425033112763494</c:v>
                </c:pt>
              </c:numCache>
            </c:numRef>
          </c:xVal>
          <c:yVal>
            <c:numRef>
              <c:f>Backend_RPS!$AC$20:$AD$20</c:f>
              <c:numCache>
                <c:formatCode>General</c:formatCode>
                <c:ptCount val="2"/>
                <c:pt idx="0">
                  <c:v>2.2448484848484846</c:v>
                </c:pt>
                <c:pt idx="1">
                  <c:v>2.2640151515151512</c:v>
                </c:pt>
              </c:numCache>
            </c:numRef>
          </c:yVal>
          <c:smooth val="0"/>
          <c:extLst>
            <c:ext xmlns:c16="http://schemas.microsoft.com/office/drawing/2014/chart" uri="{C3380CC4-5D6E-409C-BE32-E72D297353CC}">
              <c16:uniqueId val="{00000047-6BD9-4396-A40C-88EF12903169}"/>
            </c:ext>
          </c:extLst>
        </c:ser>
        <c:ser>
          <c:idx val="18"/>
          <c:order val="18"/>
          <c:tx>
            <c:strRef>
              <c:f>Backend_RPS!$J$21</c:f>
              <c:strCache>
                <c:ptCount val="1"/>
                <c:pt idx="0">
                  <c:v>Metacarpals (M)</c:v>
                </c:pt>
              </c:strCache>
            </c:strRef>
          </c:tx>
          <c:spPr>
            <a:ln w="133350" cap="rnd">
              <a:solidFill>
                <a:srgbClr val="D9E021"/>
              </a:solidFill>
              <a:round/>
              <a:tailEnd type="none"/>
            </a:ln>
            <a:effectLst/>
          </c:spPr>
          <c:marker>
            <c:symbol val="none"/>
          </c:marker>
          <c:xVal>
            <c:numRef>
              <c:f>Backend_RPS!$AA$21:$AB$21</c:f>
              <c:numCache>
                <c:formatCode>General</c:formatCode>
                <c:ptCount val="2"/>
                <c:pt idx="0">
                  <c:v>40.425033112763494</c:v>
                </c:pt>
                <c:pt idx="1">
                  <c:v>45.425010155869657</c:v>
                </c:pt>
              </c:numCache>
            </c:numRef>
          </c:xVal>
          <c:yVal>
            <c:numRef>
              <c:f>Backend_RPS!$AC$21:$AD$21</c:f>
              <c:numCache>
                <c:formatCode>General</c:formatCode>
                <c:ptCount val="2"/>
                <c:pt idx="0">
                  <c:v>2.2640151515151512</c:v>
                </c:pt>
                <c:pt idx="1">
                  <c:v>2.2791666666666663</c:v>
                </c:pt>
              </c:numCache>
            </c:numRef>
          </c:yVal>
          <c:smooth val="0"/>
          <c:extLst>
            <c:ext xmlns:c16="http://schemas.microsoft.com/office/drawing/2014/chart" uri="{C3380CC4-5D6E-409C-BE32-E72D297353CC}">
              <c16:uniqueId val="{00000048-6BD9-4396-A40C-88EF12903169}"/>
            </c:ext>
          </c:extLst>
        </c:ser>
        <c:ser>
          <c:idx val="19"/>
          <c:order val="19"/>
          <c:tx>
            <c:strRef>
              <c:f>Backend_RPS!$J$22</c:f>
              <c:strCache>
                <c:ptCount val="1"/>
                <c:pt idx="0">
                  <c:v>Distal Phalanges (R)</c:v>
                </c:pt>
              </c:strCache>
            </c:strRef>
          </c:tx>
          <c:spPr>
            <a:ln w="133350" cap="rnd" cmpd="sng" algn="ctr">
              <a:solidFill>
                <a:srgbClr val="009245"/>
              </a:solidFill>
              <a:prstDash val="solid"/>
              <a:round/>
              <a:headEnd type="none" w="med" len="med"/>
              <a:tailEnd type="oval" w="sm" len="sm"/>
            </a:ln>
            <a:effectLst/>
          </c:spPr>
          <c:marker>
            <c:symbol val="none"/>
          </c:marker>
          <c:xVal>
            <c:numRef>
              <c:f>Backend_RPS!$AA$22:$AB$22</c:f>
              <c:numCache>
                <c:formatCode>General</c:formatCode>
                <c:ptCount val="2"/>
                <c:pt idx="0">
                  <c:v>58.7</c:v>
                </c:pt>
                <c:pt idx="1">
                  <c:v>38.705063140884889</c:v>
                </c:pt>
              </c:numCache>
            </c:numRef>
          </c:xVal>
          <c:yVal>
            <c:numRef>
              <c:f>Backend_RPS!$AC$22:$AD$22</c:f>
              <c:numCache>
                <c:formatCode>General</c:formatCode>
                <c:ptCount val="2"/>
                <c:pt idx="0">
                  <c:v>1.9</c:v>
                </c:pt>
                <c:pt idx="1">
                  <c:v>1.4500000000000002</c:v>
                </c:pt>
              </c:numCache>
            </c:numRef>
          </c:yVal>
          <c:smooth val="0"/>
          <c:extLst>
            <c:ext xmlns:c16="http://schemas.microsoft.com/office/drawing/2014/chart" uri="{C3380CC4-5D6E-409C-BE32-E72D297353CC}">
              <c16:uniqueId val="{00000049-6BD9-4396-A40C-88EF12903169}"/>
            </c:ext>
          </c:extLst>
        </c:ser>
        <c:ser>
          <c:idx val="20"/>
          <c:order val="20"/>
          <c:tx>
            <c:strRef>
              <c:f>Backend_RPS!$J$23</c:f>
              <c:strCache>
                <c:ptCount val="1"/>
                <c:pt idx="0">
                  <c:v>Middle Phalanges (R)</c:v>
                </c:pt>
              </c:strCache>
            </c:strRef>
          </c:tx>
          <c:spPr>
            <a:ln w="133350" cap="rnd" cmpd="sng" algn="ctr">
              <a:solidFill>
                <a:srgbClr val="00B63E"/>
              </a:solidFill>
              <a:prstDash val="solid"/>
              <a:round/>
              <a:headEnd type="none" w="med" len="med"/>
              <a:tailEnd type="oval" w="sm" len="sm"/>
            </a:ln>
            <a:effectLst/>
          </c:spPr>
          <c:marker>
            <c:symbol val="none"/>
          </c:marker>
          <c:xVal>
            <c:numRef>
              <c:f>Backend_RPS!$AA$23:$AB$23</c:f>
              <c:numCache>
                <c:formatCode>General</c:formatCode>
                <c:ptCount val="2"/>
                <c:pt idx="0">
                  <c:v>38.705063140884889</c:v>
                </c:pt>
                <c:pt idx="1">
                  <c:v>37.205133381863511</c:v>
                </c:pt>
              </c:numCache>
            </c:numRef>
          </c:xVal>
          <c:yVal>
            <c:numRef>
              <c:f>Backend_RPS!$AC$23:$AD$23</c:f>
              <c:numCache>
                <c:formatCode>General</c:formatCode>
                <c:ptCount val="2"/>
                <c:pt idx="0">
                  <c:v>1.4500000000000002</c:v>
                </c:pt>
                <c:pt idx="1">
                  <c:v>1.435483870967742</c:v>
                </c:pt>
              </c:numCache>
            </c:numRef>
          </c:yVal>
          <c:smooth val="0"/>
          <c:extLst>
            <c:ext xmlns:c16="http://schemas.microsoft.com/office/drawing/2014/chart" uri="{C3380CC4-5D6E-409C-BE32-E72D297353CC}">
              <c16:uniqueId val="{0000004A-6BD9-4396-A40C-88EF12903169}"/>
            </c:ext>
          </c:extLst>
        </c:ser>
        <c:ser>
          <c:idx val="21"/>
          <c:order val="21"/>
          <c:tx>
            <c:strRef>
              <c:f>Backend_RPS!$J$24</c:f>
              <c:strCache>
                <c:ptCount val="1"/>
                <c:pt idx="0">
                  <c:v>Proximal Phalanges (R)</c:v>
                </c:pt>
              </c:strCache>
            </c:strRef>
          </c:tx>
          <c:spPr>
            <a:ln w="133350" cap="rnd" cmpd="sng" algn="ctr">
              <a:solidFill>
                <a:srgbClr val="8CC63F"/>
              </a:solidFill>
              <a:prstDash val="solid"/>
              <a:round/>
              <a:headEnd type="none" w="med" len="med"/>
              <a:tailEnd type="oval" w="sm" len="sm"/>
            </a:ln>
            <a:effectLst/>
          </c:spPr>
          <c:marker>
            <c:symbol val="none"/>
          </c:marker>
          <c:xVal>
            <c:numRef>
              <c:f>Backend_RPS!$AA$24:$AB$24</c:f>
              <c:numCache>
                <c:formatCode>General</c:formatCode>
                <c:ptCount val="2"/>
                <c:pt idx="0">
                  <c:v>37.205133381863511</c:v>
                </c:pt>
                <c:pt idx="1">
                  <c:v>43.529837199070307</c:v>
                </c:pt>
              </c:numCache>
            </c:numRef>
          </c:xVal>
          <c:yVal>
            <c:numRef>
              <c:f>Backend_RPS!$AC$24:$AD$24</c:f>
              <c:numCache>
                <c:formatCode>General</c:formatCode>
                <c:ptCount val="2"/>
                <c:pt idx="0">
                  <c:v>1.435483870967742</c:v>
                </c:pt>
                <c:pt idx="1">
                  <c:v>1.4966935483870967</c:v>
                </c:pt>
              </c:numCache>
            </c:numRef>
          </c:yVal>
          <c:smooth val="0"/>
          <c:extLst>
            <c:ext xmlns:c16="http://schemas.microsoft.com/office/drawing/2014/chart" uri="{C3380CC4-5D6E-409C-BE32-E72D297353CC}">
              <c16:uniqueId val="{0000004B-6BD9-4396-A40C-88EF12903169}"/>
            </c:ext>
          </c:extLst>
        </c:ser>
        <c:ser>
          <c:idx val="22"/>
          <c:order val="22"/>
          <c:tx>
            <c:strRef>
              <c:f>Backend_RPS!$J$25</c:f>
              <c:strCache>
                <c:ptCount val="1"/>
                <c:pt idx="0">
                  <c:v>Metacarpals (R)</c:v>
                </c:pt>
              </c:strCache>
            </c:strRef>
          </c:tx>
          <c:spPr>
            <a:ln w="133350" cap="rnd">
              <a:solidFill>
                <a:srgbClr val="D9E021"/>
              </a:solidFill>
              <a:round/>
              <a:tailEnd type="none"/>
            </a:ln>
            <a:effectLst/>
          </c:spPr>
          <c:marker>
            <c:symbol val="none"/>
          </c:marker>
          <c:xVal>
            <c:numRef>
              <c:f>Backend_RPS!$AA$25:$AB$25</c:f>
              <c:numCache>
                <c:formatCode>General</c:formatCode>
                <c:ptCount val="2"/>
                <c:pt idx="0">
                  <c:v>43.529837199070307</c:v>
                </c:pt>
                <c:pt idx="1">
                  <c:v>48.529603062474891</c:v>
                </c:pt>
              </c:numCache>
            </c:numRef>
          </c:xVal>
          <c:yVal>
            <c:numRef>
              <c:f>Backend_RPS!$AC$25:$AD$25</c:f>
              <c:numCache>
                <c:formatCode>General</c:formatCode>
                <c:ptCount val="2"/>
                <c:pt idx="0">
                  <c:v>1.4966935483870967</c:v>
                </c:pt>
                <c:pt idx="1">
                  <c:v>1.5450806451612902</c:v>
                </c:pt>
              </c:numCache>
            </c:numRef>
          </c:yVal>
          <c:smooth val="0"/>
          <c:extLst>
            <c:ext xmlns:c16="http://schemas.microsoft.com/office/drawing/2014/chart" uri="{C3380CC4-5D6E-409C-BE32-E72D297353CC}">
              <c16:uniqueId val="{0000004C-6BD9-4396-A40C-88EF12903169}"/>
            </c:ext>
          </c:extLst>
        </c:ser>
        <c:ser>
          <c:idx val="23"/>
          <c:order val="23"/>
          <c:tx>
            <c:strRef>
              <c:f>Backend_RPS!$J$26</c:f>
              <c:strCache>
                <c:ptCount val="1"/>
                <c:pt idx="0">
                  <c:v>Distal Phalanges (P)</c:v>
                </c:pt>
              </c:strCache>
            </c:strRef>
          </c:tx>
          <c:spPr>
            <a:ln w="133350" cap="rnd" cmpd="sng" algn="ctr">
              <a:solidFill>
                <a:srgbClr val="009245"/>
              </a:solidFill>
              <a:prstDash val="solid"/>
              <a:round/>
              <a:headEnd type="none" w="med" len="med"/>
              <a:tailEnd type="oval" w="sm" len="sm"/>
            </a:ln>
            <a:effectLst/>
          </c:spPr>
          <c:marker>
            <c:symbol val="none"/>
          </c:marker>
          <c:xVal>
            <c:numRef>
              <c:f>Backend_RPS!$AA$26:$AB$26</c:f>
              <c:numCache>
                <c:formatCode>General</c:formatCode>
                <c:ptCount val="2"/>
                <c:pt idx="0">
                  <c:v>60</c:v>
                </c:pt>
                <c:pt idx="1">
                  <c:v>44.015319834291333</c:v>
                </c:pt>
              </c:numCache>
            </c:numRef>
          </c:xVal>
          <c:yVal>
            <c:numRef>
              <c:f>Backend_RPS!$AC$26:$AD$26</c:f>
              <c:numCache>
                <c:formatCode>General</c:formatCode>
                <c:ptCount val="2"/>
                <c:pt idx="0">
                  <c:v>1.5499999999999998</c:v>
                </c:pt>
                <c:pt idx="1">
                  <c:v>0.84999999999999964</c:v>
                </c:pt>
              </c:numCache>
            </c:numRef>
          </c:yVal>
          <c:smooth val="0"/>
          <c:extLst>
            <c:ext xmlns:c16="http://schemas.microsoft.com/office/drawing/2014/chart" uri="{C3380CC4-5D6E-409C-BE32-E72D297353CC}">
              <c16:uniqueId val="{0000004D-6BD9-4396-A40C-88EF12903169}"/>
            </c:ext>
          </c:extLst>
        </c:ser>
        <c:ser>
          <c:idx val="24"/>
          <c:order val="24"/>
          <c:tx>
            <c:strRef>
              <c:f>Backend_RPS!$J$27</c:f>
              <c:strCache>
                <c:ptCount val="1"/>
                <c:pt idx="0">
                  <c:v>Middle Phalanges (P)</c:v>
                </c:pt>
              </c:strCache>
            </c:strRef>
          </c:tx>
          <c:spPr>
            <a:ln w="133350" cap="rnd" cmpd="sng" algn="ctr">
              <a:solidFill>
                <a:srgbClr val="00B63E"/>
              </a:solidFill>
              <a:prstDash val="solid"/>
              <a:round/>
              <a:headEnd type="none" w="med" len="med"/>
              <a:tailEnd type="oval" w="sm" len="sm"/>
            </a:ln>
            <a:effectLst/>
          </c:spPr>
          <c:marker>
            <c:symbol val="none"/>
          </c:marker>
          <c:xVal>
            <c:numRef>
              <c:f>Backend_RPS!$AA$27:$AB$27</c:f>
              <c:numCache>
                <c:formatCode>General</c:formatCode>
                <c:ptCount val="2"/>
                <c:pt idx="0">
                  <c:v>44.015319834291333</c:v>
                </c:pt>
                <c:pt idx="1">
                  <c:v>42.915729001299354</c:v>
                </c:pt>
              </c:numCache>
            </c:numRef>
          </c:xVal>
          <c:yVal>
            <c:numRef>
              <c:f>Backend_RPS!$AC$27:$AD$27</c:f>
              <c:numCache>
                <c:formatCode>General</c:formatCode>
                <c:ptCount val="2"/>
                <c:pt idx="0">
                  <c:v>0.84999999999999964</c:v>
                </c:pt>
                <c:pt idx="1">
                  <c:v>0.8199999999999994</c:v>
                </c:pt>
              </c:numCache>
            </c:numRef>
          </c:yVal>
          <c:smooth val="0"/>
          <c:extLst>
            <c:ext xmlns:c16="http://schemas.microsoft.com/office/drawing/2014/chart" uri="{C3380CC4-5D6E-409C-BE32-E72D297353CC}">
              <c16:uniqueId val="{0000004E-6BD9-4396-A40C-88EF12903169}"/>
            </c:ext>
          </c:extLst>
        </c:ser>
        <c:ser>
          <c:idx val="25"/>
          <c:order val="25"/>
          <c:tx>
            <c:strRef>
              <c:f>Backend_RPS!$J$28</c:f>
              <c:strCache>
                <c:ptCount val="1"/>
                <c:pt idx="0">
                  <c:v>Proximal Phalanges (P)</c:v>
                </c:pt>
              </c:strCache>
            </c:strRef>
          </c:tx>
          <c:spPr>
            <a:ln w="133350" cap="rnd" cmpd="sng" algn="ctr">
              <a:solidFill>
                <a:srgbClr val="8CC63F"/>
              </a:solidFill>
              <a:prstDash val="solid"/>
              <a:round/>
              <a:headEnd type="none" w="med" len="med"/>
              <a:tailEnd type="oval" w="sm" len="sm"/>
            </a:ln>
            <a:effectLst/>
          </c:spPr>
          <c:marker>
            <c:symbol val="none"/>
          </c:marker>
          <c:xVal>
            <c:numRef>
              <c:f>Backend_RPS!$AA$28:$AB$28</c:f>
              <c:numCache>
                <c:formatCode>General</c:formatCode>
                <c:ptCount val="2"/>
                <c:pt idx="0">
                  <c:v>42.915729001299354</c:v>
                </c:pt>
                <c:pt idx="1">
                  <c:v>46.939231822020012</c:v>
                </c:pt>
              </c:numCache>
            </c:numRef>
          </c:xVal>
          <c:yVal>
            <c:numRef>
              <c:f>Backend_RPS!$AC$28:$AD$28</c:f>
              <c:numCache>
                <c:formatCode>General</c:formatCode>
                <c:ptCount val="2"/>
                <c:pt idx="0">
                  <c:v>0.8199999999999994</c:v>
                </c:pt>
                <c:pt idx="1">
                  <c:v>0.92977272727272631</c:v>
                </c:pt>
              </c:numCache>
            </c:numRef>
          </c:yVal>
          <c:smooth val="0"/>
          <c:extLst>
            <c:ext xmlns:c16="http://schemas.microsoft.com/office/drawing/2014/chart" uri="{C3380CC4-5D6E-409C-BE32-E72D297353CC}">
              <c16:uniqueId val="{0000004F-6BD9-4396-A40C-88EF12903169}"/>
            </c:ext>
          </c:extLst>
        </c:ser>
        <c:ser>
          <c:idx val="26"/>
          <c:order val="26"/>
          <c:tx>
            <c:strRef>
              <c:f>Backend_RPS!$J$29</c:f>
              <c:strCache>
                <c:ptCount val="1"/>
                <c:pt idx="0">
                  <c:v>Metacarpals (P)</c:v>
                </c:pt>
              </c:strCache>
            </c:strRef>
          </c:tx>
          <c:spPr>
            <a:ln w="133350" cap="rnd">
              <a:solidFill>
                <a:srgbClr val="D9E021"/>
              </a:solidFill>
              <a:round/>
              <a:tailEnd type="none"/>
            </a:ln>
            <a:effectLst/>
          </c:spPr>
          <c:marker>
            <c:symbol val="none"/>
          </c:marker>
          <c:xVal>
            <c:numRef>
              <c:f>Backend_RPS!$AA$29:$AB$29</c:f>
              <c:numCache>
                <c:formatCode>General</c:formatCode>
                <c:ptCount val="2"/>
                <c:pt idx="0">
                  <c:v>46.939231822020012</c:v>
                </c:pt>
                <c:pt idx="1">
                  <c:v>50.937743941990853</c:v>
                </c:pt>
              </c:numCache>
            </c:numRef>
          </c:xVal>
          <c:yVal>
            <c:numRef>
              <c:f>Backend_RPS!$AC$29:$AD$29</c:f>
              <c:numCache>
                <c:formatCode>General</c:formatCode>
                <c:ptCount val="2"/>
                <c:pt idx="0">
                  <c:v>0.92977272727272631</c:v>
                </c:pt>
                <c:pt idx="1">
                  <c:v>1.0388636363636352</c:v>
                </c:pt>
              </c:numCache>
            </c:numRef>
          </c:yVal>
          <c:smooth val="0"/>
          <c:extLst>
            <c:ext xmlns:c16="http://schemas.microsoft.com/office/drawing/2014/chart" uri="{C3380CC4-5D6E-409C-BE32-E72D297353CC}">
              <c16:uniqueId val="{00000050-6BD9-4396-A40C-88EF12903169}"/>
            </c:ext>
          </c:extLst>
        </c:ser>
        <c:dLbls>
          <c:showLegendKey val="0"/>
          <c:showVal val="0"/>
          <c:showCatName val="0"/>
          <c:showSerName val="0"/>
          <c:showPercent val="0"/>
          <c:showBubbleSize val="0"/>
        </c:dLbls>
        <c:axId val="2117009407"/>
        <c:axId val="1183845983"/>
      </c:scatterChart>
      <c:valAx>
        <c:axId val="2117009407"/>
        <c:scaling>
          <c:orientation val="minMax"/>
          <c:max val="75"/>
          <c:min val="-5"/>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845983"/>
        <c:crosses val="autoZero"/>
        <c:crossBetween val="midCat"/>
      </c:valAx>
      <c:valAx>
        <c:axId val="1183845983"/>
        <c:scaling>
          <c:orientation val="minMax"/>
          <c:max val="5"/>
          <c:min val="0"/>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70094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tx>
            <c:strRef>
              <c:f>Backend_RPS!$AL$2</c:f>
              <c:strCache>
                <c:ptCount val="1"/>
                <c:pt idx="0">
                  <c:v>P1_1</c:v>
                </c:pt>
              </c:strCache>
            </c:strRef>
          </c:tx>
          <c:spPr>
            <a:ln w="25400" cap="rnd">
              <a:noFill/>
              <a:round/>
            </a:ln>
            <a:effectLst/>
          </c:spPr>
          <c:marker>
            <c:symbol val="picture"/>
            <c:spPr>
              <a:blipFill>
                <a:blip xmlns:r="http://schemas.openxmlformats.org/officeDocument/2006/relationships" r:embed="rId1"/>
                <a:stretch>
                  <a:fillRect/>
                </a:stretch>
              </a:blipFill>
              <a:ln w="9525">
                <a:noFill/>
              </a:ln>
              <a:effectLst/>
            </c:spPr>
          </c:marker>
          <c:xVal>
            <c:numRef>
              <c:f>Backend_RPS!$AL$3:$AL$7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0-E2C9-4AF5-B13A-AF4D47935C77}"/>
            </c:ext>
          </c:extLst>
        </c:ser>
        <c:ser>
          <c:idx val="1"/>
          <c:order val="1"/>
          <c:tx>
            <c:strRef>
              <c:f>Backend_RPS!$AM$2</c:f>
              <c:strCache>
                <c:ptCount val="1"/>
                <c:pt idx="0">
                  <c:v>P1_2</c:v>
                </c:pt>
              </c:strCache>
            </c:strRef>
          </c:tx>
          <c:spPr>
            <a:ln w="25400" cap="rnd">
              <a:noFill/>
              <a:round/>
            </a:ln>
            <a:effectLst/>
          </c:spPr>
          <c:marker>
            <c:symbol val="picture"/>
            <c:spPr>
              <a:blipFill>
                <a:blip xmlns:r="http://schemas.openxmlformats.org/officeDocument/2006/relationships" r:embed="rId2"/>
                <a:stretch>
                  <a:fillRect/>
                </a:stretch>
              </a:blipFill>
              <a:ln w="9525">
                <a:noFill/>
              </a:ln>
              <a:effectLst/>
            </c:spPr>
          </c:marker>
          <c:xVal>
            <c:numRef>
              <c:f>Backend_RPS!$AM$3:$AM$7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1-E2C9-4AF5-B13A-AF4D47935C77}"/>
            </c:ext>
          </c:extLst>
        </c:ser>
        <c:ser>
          <c:idx val="2"/>
          <c:order val="2"/>
          <c:tx>
            <c:strRef>
              <c:f>Backend_RPS!$AN$2</c:f>
              <c:strCache>
                <c:ptCount val="1"/>
                <c:pt idx="0">
                  <c:v>P1_3</c:v>
                </c:pt>
              </c:strCache>
            </c:strRef>
          </c:tx>
          <c:spPr>
            <a:ln w="25400" cap="rnd">
              <a:noFill/>
              <a:round/>
            </a:ln>
            <a:effectLst/>
          </c:spPr>
          <c:marker>
            <c:symbol val="picture"/>
            <c:spPr>
              <a:blipFill>
                <a:blip xmlns:r="http://schemas.openxmlformats.org/officeDocument/2006/relationships" r:embed="rId3"/>
                <a:stretch>
                  <a:fillRect/>
                </a:stretch>
              </a:blipFill>
              <a:ln w="9525">
                <a:noFill/>
              </a:ln>
              <a:effectLst/>
            </c:spPr>
          </c:marker>
          <c:xVal>
            <c:numRef>
              <c:f>Backend_RPS!$AN$3:$AN$7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2-E2C9-4AF5-B13A-AF4D47935C77}"/>
            </c:ext>
          </c:extLst>
        </c:ser>
        <c:dLbls>
          <c:showLegendKey val="0"/>
          <c:showVal val="0"/>
          <c:showCatName val="0"/>
          <c:showSerName val="0"/>
          <c:showPercent val="0"/>
          <c:showBubbleSize val="0"/>
        </c:dLbls>
        <c:axId val="2083850191"/>
        <c:axId val="1989366703"/>
      </c:scatterChart>
      <c:valAx>
        <c:axId val="2083850191"/>
        <c:scaling>
          <c:orientation val="minMax"/>
          <c:max val="5.4"/>
          <c:min val="0.60000000000000009"/>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66703"/>
        <c:crosses val="autoZero"/>
        <c:crossBetween val="midCat"/>
      </c:valAx>
      <c:valAx>
        <c:axId val="1989366703"/>
        <c:scaling>
          <c:orientation val="minMax"/>
          <c:max val="2"/>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501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tx>
            <c:strRef>
              <c:f>Backend_RPS!$AO$2</c:f>
              <c:strCache>
                <c:ptCount val="1"/>
                <c:pt idx="0">
                  <c:v>P2_1</c:v>
                </c:pt>
              </c:strCache>
            </c:strRef>
          </c:tx>
          <c:spPr>
            <a:ln w="25400" cap="rnd">
              <a:noFill/>
              <a:round/>
            </a:ln>
            <a:effectLst/>
          </c:spPr>
          <c:marker>
            <c:symbol val="picture"/>
            <c:spPr>
              <a:blipFill>
                <a:blip xmlns:r="http://schemas.openxmlformats.org/officeDocument/2006/relationships" r:embed="rId1"/>
                <a:stretch>
                  <a:fillRect/>
                </a:stretch>
              </a:blipFill>
              <a:ln w="9525">
                <a:noFill/>
              </a:ln>
              <a:effectLst/>
            </c:spPr>
          </c:marker>
          <c:xVal>
            <c:numRef>
              <c:f>Backend_RPS!$AO$3:$AO$7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0-554A-485F-9F20-E32124D48C9F}"/>
            </c:ext>
          </c:extLst>
        </c:ser>
        <c:ser>
          <c:idx val="1"/>
          <c:order val="1"/>
          <c:tx>
            <c:strRef>
              <c:f>Backend_RPS!$AP$2</c:f>
              <c:strCache>
                <c:ptCount val="1"/>
                <c:pt idx="0">
                  <c:v>P2_2</c:v>
                </c:pt>
              </c:strCache>
            </c:strRef>
          </c:tx>
          <c:spPr>
            <a:ln w="25400" cap="rnd">
              <a:noFill/>
              <a:round/>
            </a:ln>
            <a:effectLst/>
          </c:spPr>
          <c:marker>
            <c:symbol val="picture"/>
            <c:spPr>
              <a:blipFill>
                <a:blip xmlns:r="http://schemas.openxmlformats.org/officeDocument/2006/relationships" r:embed="rId2"/>
                <a:stretch>
                  <a:fillRect/>
                </a:stretch>
              </a:blipFill>
              <a:ln w="9525">
                <a:noFill/>
              </a:ln>
              <a:effectLst/>
            </c:spPr>
          </c:marker>
          <c:xVal>
            <c:numRef>
              <c:f>Backend_RPS!$AP$3:$AP$7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1-554A-485F-9F20-E32124D48C9F}"/>
            </c:ext>
          </c:extLst>
        </c:ser>
        <c:ser>
          <c:idx val="2"/>
          <c:order val="2"/>
          <c:tx>
            <c:strRef>
              <c:f>Backend_RPS!$AQ$2</c:f>
              <c:strCache>
                <c:ptCount val="1"/>
                <c:pt idx="0">
                  <c:v>P2_3</c:v>
                </c:pt>
              </c:strCache>
            </c:strRef>
          </c:tx>
          <c:spPr>
            <a:ln w="25400" cap="rnd">
              <a:noFill/>
              <a:round/>
            </a:ln>
            <a:effectLst/>
          </c:spPr>
          <c:marker>
            <c:symbol val="picture"/>
            <c:spPr>
              <a:blipFill>
                <a:blip xmlns:r="http://schemas.openxmlformats.org/officeDocument/2006/relationships" r:embed="rId3"/>
                <a:stretch>
                  <a:fillRect/>
                </a:stretch>
              </a:blipFill>
              <a:ln w="9525">
                <a:noFill/>
              </a:ln>
              <a:effectLst/>
            </c:spPr>
          </c:marker>
          <c:xVal>
            <c:numRef>
              <c:f>Backend_RPS!$AQ$3:$AQ$7</c:f>
              <c:numCache>
                <c:formatCode>General</c:formatCode>
                <c:ptCount val="5"/>
                <c:pt idx="0">
                  <c:v>#N/A</c:v>
                </c:pt>
                <c:pt idx="1">
                  <c:v>#N/A</c:v>
                </c:pt>
                <c:pt idx="2">
                  <c:v>#N/A</c:v>
                </c:pt>
                <c:pt idx="3">
                  <c:v>#N/A</c:v>
                </c:pt>
                <c:pt idx="4">
                  <c:v>#N/A</c:v>
                </c:pt>
              </c:numCache>
            </c:numRef>
          </c:xVal>
          <c:yVal>
            <c:numRef>
              <c:f>Backend_RPS!$AG$3:$AG$7</c:f>
              <c:numCache>
                <c:formatCode>General</c:formatCode>
                <c:ptCount val="5"/>
                <c:pt idx="0">
                  <c:v>1</c:v>
                </c:pt>
                <c:pt idx="1">
                  <c:v>1</c:v>
                </c:pt>
                <c:pt idx="2">
                  <c:v>1</c:v>
                </c:pt>
                <c:pt idx="3">
                  <c:v>1</c:v>
                </c:pt>
                <c:pt idx="4">
                  <c:v>1</c:v>
                </c:pt>
              </c:numCache>
            </c:numRef>
          </c:yVal>
          <c:smooth val="0"/>
          <c:extLst>
            <c:ext xmlns:c16="http://schemas.microsoft.com/office/drawing/2014/chart" uri="{C3380CC4-5D6E-409C-BE32-E72D297353CC}">
              <c16:uniqueId val="{00000002-554A-485F-9F20-E32124D48C9F}"/>
            </c:ext>
          </c:extLst>
        </c:ser>
        <c:dLbls>
          <c:showLegendKey val="0"/>
          <c:showVal val="0"/>
          <c:showCatName val="0"/>
          <c:showSerName val="0"/>
          <c:showPercent val="0"/>
          <c:showBubbleSize val="0"/>
        </c:dLbls>
        <c:axId val="2083850191"/>
        <c:axId val="1989366703"/>
      </c:scatterChart>
      <c:valAx>
        <c:axId val="2083850191"/>
        <c:scaling>
          <c:orientation val="minMax"/>
          <c:max val="5.4"/>
          <c:min val="0.60000000000000009"/>
        </c:scaling>
        <c:delete val="0"/>
        <c:axPos val="b"/>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66703"/>
        <c:crosses val="autoZero"/>
        <c:crossBetween val="midCat"/>
      </c:valAx>
      <c:valAx>
        <c:axId val="1989366703"/>
        <c:scaling>
          <c:orientation val="minMax"/>
          <c:max val="2"/>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501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scatterChart>
        <c:scatterStyle val="lineMarker"/>
        <c:varyColors val="0"/>
        <c:ser>
          <c:idx val="0"/>
          <c:order val="0"/>
          <c:spPr>
            <a:ln w="25400" cap="rnd">
              <a:noFill/>
              <a:round/>
            </a:ln>
            <a:effectLst/>
          </c:spPr>
          <c:marker>
            <c:symbol val="picture"/>
            <c:spPr>
              <a:blipFill>
                <a:blip xmlns:r="http://schemas.openxmlformats.org/officeDocument/2006/relationships" r:embed="rId1"/>
                <a:stretch>
                  <a:fillRect/>
                </a:stretch>
              </a:blipFill>
              <a:ln w="9525">
                <a:noFill/>
              </a:ln>
              <a:effectLst/>
            </c:spPr>
          </c:marker>
          <c:xVal>
            <c:numRef>
              <c:f>Backend_RPS!$C$20</c:f>
              <c:numCache>
                <c:formatCode>General</c:formatCode>
                <c:ptCount val="1"/>
                <c:pt idx="0">
                  <c:v>#N/A</c:v>
                </c:pt>
              </c:numCache>
            </c:numRef>
          </c:xVal>
          <c:yVal>
            <c:numLit>
              <c:formatCode>General</c:formatCode>
              <c:ptCount val="1"/>
              <c:pt idx="0">
                <c:v>1</c:v>
              </c:pt>
            </c:numLit>
          </c:yVal>
          <c:smooth val="0"/>
          <c:extLst>
            <c:ext xmlns:c16="http://schemas.microsoft.com/office/drawing/2014/chart" uri="{C3380CC4-5D6E-409C-BE32-E72D297353CC}">
              <c16:uniqueId val="{00000000-E332-4917-90F3-745AD1CC52AC}"/>
            </c:ext>
          </c:extLst>
        </c:ser>
        <c:ser>
          <c:idx val="1"/>
          <c:order val="1"/>
          <c:spPr>
            <a:ln w="25400" cap="rnd">
              <a:noFill/>
              <a:round/>
            </a:ln>
            <a:effectLst/>
          </c:spPr>
          <c:marker>
            <c:symbol val="none"/>
          </c:marker>
          <c:xVal>
            <c:numRef>
              <c:f>Backend_RPS!$C$21</c:f>
              <c:numCache>
                <c:formatCode>General</c:formatCode>
                <c:ptCount val="1"/>
                <c:pt idx="0">
                  <c:v>1</c:v>
                </c:pt>
              </c:numCache>
            </c:numRef>
          </c:xVal>
          <c:yVal>
            <c:numLit>
              <c:formatCode>General</c:formatCode>
              <c:ptCount val="1"/>
              <c:pt idx="0">
                <c:v>1</c:v>
              </c:pt>
            </c:numLit>
          </c:yVal>
          <c:smooth val="0"/>
          <c:extLst>
            <c:ext xmlns:c16="http://schemas.microsoft.com/office/drawing/2014/chart" uri="{C3380CC4-5D6E-409C-BE32-E72D297353CC}">
              <c16:uniqueId val="{00000001-E332-4917-90F3-745AD1CC52AC}"/>
            </c:ext>
          </c:extLst>
        </c:ser>
        <c:dLbls>
          <c:showLegendKey val="0"/>
          <c:showVal val="0"/>
          <c:showCatName val="0"/>
          <c:showSerName val="0"/>
          <c:showPercent val="0"/>
          <c:showBubbleSize val="0"/>
        </c:dLbls>
        <c:axId val="1822140704"/>
        <c:axId val="627332208"/>
      </c:scatterChart>
      <c:valAx>
        <c:axId val="1822140704"/>
        <c:scaling>
          <c:orientation val="minMax"/>
          <c:max val="2"/>
          <c:min val="0"/>
        </c:scaling>
        <c:delete val="0"/>
        <c:axPos val="b"/>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332208"/>
        <c:crosses val="autoZero"/>
        <c:crossBetween val="midCat"/>
      </c:valAx>
      <c:valAx>
        <c:axId val="627332208"/>
        <c:scaling>
          <c:orientation val="minMax"/>
          <c:max val="2"/>
          <c:min val="0"/>
        </c:scaling>
        <c:delete val="0"/>
        <c:axPos val="l"/>
        <c:majorGridlines>
          <c:spPr>
            <a:ln w="9525" cap="flat" cmpd="sng" algn="ctr">
              <a:noFill/>
              <a:round/>
            </a:ln>
            <a:effectLst/>
          </c:spPr>
        </c:majorGridlines>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2140704"/>
        <c:crosses val="autoZero"/>
        <c:crossBetween val="midCat"/>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1</xdr:colOff>
      <xdr:row>1</xdr:row>
      <xdr:rowOff>337038</xdr:rowOff>
    </xdr:from>
    <xdr:to>
      <xdr:col>5</xdr:col>
      <xdr:colOff>0</xdr:colOff>
      <xdr:row>20</xdr:row>
      <xdr:rowOff>0</xdr:rowOff>
    </xdr:to>
    <xdr:graphicFrame macro="">
      <xdr:nvGraphicFramePr>
        <xdr:cNvPr id="2" name="Chart 1">
          <a:extLst>
            <a:ext uri="{FF2B5EF4-FFF2-40B4-BE49-F238E27FC236}">
              <a16:creationId xmlns:a16="http://schemas.microsoft.com/office/drawing/2014/main" id="{976D2B45-3451-4C23-B6EF-73489A7B84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0</xdr:colOff>
      <xdr:row>2</xdr:row>
      <xdr:rowOff>1</xdr:rowOff>
    </xdr:from>
    <xdr:to>
      <xdr:col>31</xdr:col>
      <xdr:colOff>212481</xdr:colOff>
      <xdr:row>19</xdr:row>
      <xdr:rowOff>0</xdr:rowOff>
    </xdr:to>
    <xdr:graphicFrame macro="">
      <xdr:nvGraphicFramePr>
        <xdr:cNvPr id="3" name="Chart 2">
          <a:extLst>
            <a:ext uri="{FF2B5EF4-FFF2-40B4-BE49-F238E27FC236}">
              <a16:creationId xmlns:a16="http://schemas.microsoft.com/office/drawing/2014/main" id="{E3944E02-40EF-413A-8301-4AE0EFD249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4</xdr:col>
      <xdr:colOff>0</xdr:colOff>
      <xdr:row>1</xdr:row>
      <xdr:rowOff>337038</xdr:rowOff>
    </xdr:to>
    <xdr:sp macro="[0]!HandSelect" textlink="">
      <xdr:nvSpPr>
        <xdr:cNvPr id="4" name="Hand0">
          <a:extLst>
            <a:ext uri="{FF2B5EF4-FFF2-40B4-BE49-F238E27FC236}">
              <a16:creationId xmlns:a16="http://schemas.microsoft.com/office/drawing/2014/main" id="{C625B9D2-A146-45F2-9544-B91D260469DB}"/>
            </a:ext>
          </a:extLst>
        </xdr:cNvPr>
        <xdr:cNvSpPr/>
      </xdr:nvSpPr>
      <xdr:spPr>
        <a:xfrm>
          <a:off x="476250" y="285750"/>
          <a:ext cx="2000250" cy="337038"/>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1</xdr:row>
      <xdr:rowOff>0</xdr:rowOff>
    </xdr:from>
    <xdr:to>
      <xdr:col>6</xdr:col>
      <xdr:colOff>0</xdr:colOff>
      <xdr:row>1</xdr:row>
      <xdr:rowOff>337038</xdr:rowOff>
    </xdr:to>
    <xdr:sp macro="[0]!HandSelect" textlink="">
      <xdr:nvSpPr>
        <xdr:cNvPr id="5" name="Hand1">
          <a:extLst>
            <a:ext uri="{FF2B5EF4-FFF2-40B4-BE49-F238E27FC236}">
              <a16:creationId xmlns:a16="http://schemas.microsoft.com/office/drawing/2014/main" id="{8A5E5B76-21D4-4907-8950-AB3F0C20DF96}"/>
            </a:ext>
          </a:extLst>
        </xdr:cNvPr>
        <xdr:cNvSpPr/>
      </xdr:nvSpPr>
      <xdr:spPr>
        <a:xfrm>
          <a:off x="2476500" y="285750"/>
          <a:ext cx="2000250" cy="337038"/>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1</xdr:row>
      <xdr:rowOff>337038</xdr:rowOff>
    </xdr:from>
    <xdr:to>
      <xdr:col>5</xdr:col>
      <xdr:colOff>0</xdr:colOff>
      <xdr:row>20</xdr:row>
      <xdr:rowOff>0</xdr:rowOff>
    </xdr:to>
    <xdr:graphicFrame macro="">
      <xdr:nvGraphicFramePr>
        <xdr:cNvPr id="2" name="Chart 1">
          <a:extLst>
            <a:ext uri="{FF2B5EF4-FFF2-40B4-BE49-F238E27FC236}">
              <a16:creationId xmlns:a16="http://schemas.microsoft.com/office/drawing/2014/main" id="{B744CD0E-5CFC-452F-9D9E-2E7B7949FB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16</xdr:col>
      <xdr:colOff>0</xdr:colOff>
      <xdr:row>2</xdr:row>
      <xdr:rowOff>1</xdr:rowOff>
    </xdr:from>
    <xdr:to>
      <xdr:col>31</xdr:col>
      <xdr:colOff>212481</xdr:colOff>
      <xdr:row>19</xdr:row>
      <xdr:rowOff>0</xdr:rowOff>
    </xdr:to>
    <xdr:graphicFrame macro="">
      <xdr:nvGraphicFramePr>
        <xdr:cNvPr id="3" name="Chart 2">
          <a:extLst>
            <a:ext uri="{FF2B5EF4-FFF2-40B4-BE49-F238E27FC236}">
              <a16:creationId xmlns:a16="http://schemas.microsoft.com/office/drawing/2014/main" id="{9A3A7E9B-A7C4-4AD9-9B2E-200F796592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4</xdr:col>
      <xdr:colOff>0</xdr:colOff>
      <xdr:row>1</xdr:row>
      <xdr:rowOff>337038</xdr:rowOff>
    </xdr:to>
    <xdr:sp macro="[0]!HandSelect" textlink="">
      <xdr:nvSpPr>
        <xdr:cNvPr id="4" name="Hand0">
          <a:extLst>
            <a:ext uri="{FF2B5EF4-FFF2-40B4-BE49-F238E27FC236}">
              <a16:creationId xmlns:a16="http://schemas.microsoft.com/office/drawing/2014/main" id="{53910445-E5C6-4567-B55B-1220444C9D1C}"/>
            </a:ext>
          </a:extLst>
        </xdr:cNvPr>
        <xdr:cNvSpPr/>
      </xdr:nvSpPr>
      <xdr:spPr>
        <a:xfrm>
          <a:off x="476250" y="285750"/>
          <a:ext cx="2000250" cy="337038"/>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1</xdr:row>
      <xdr:rowOff>0</xdr:rowOff>
    </xdr:from>
    <xdr:to>
      <xdr:col>6</xdr:col>
      <xdr:colOff>0</xdr:colOff>
      <xdr:row>1</xdr:row>
      <xdr:rowOff>337038</xdr:rowOff>
    </xdr:to>
    <xdr:sp macro="[0]!HandSelect" textlink="">
      <xdr:nvSpPr>
        <xdr:cNvPr id="5" name="Hand1">
          <a:extLst>
            <a:ext uri="{FF2B5EF4-FFF2-40B4-BE49-F238E27FC236}">
              <a16:creationId xmlns:a16="http://schemas.microsoft.com/office/drawing/2014/main" id="{9A437995-0EF0-449D-AE39-839E72DBC046}"/>
            </a:ext>
          </a:extLst>
        </xdr:cNvPr>
        <xdr:cNvSpPr/>
      </xdr:nvSpPr>
      <xdr:spPr>
        <a:xfrm>
          <a:off x="2476500" y="285750"/>
          <a:ext cx="2000250" cy="337038"/>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xdr:colOff>
      <xdr:row>2</xdr:row>
      <xdr:rowOff>190500</xdr:rowOff>
    </xdr:from>
    <xdr:to>
      <xdr:col>16</xdr:col>
      <xdr:colOff>1</xdr:colOff>
      <xdr:row>11</xdr:row>
      <xdr:rowOff>285750</xdr:rowOff>
    </xdr:to>
    <xdr:graphicFrame macro="">
      <xdr:nvGraphicFramePr>
        <xdr:cNvPr id="5" name="Chart 4">
          <a:extLst>
            <a:ext uri="{FF2B5EF4-FFF2-40B4-BE49-F238E27FC236}">
              <a16:creationId xmlns:a16="http://schemas.microsoft.com/office/drawing/2014/main" id="{B0373CD0-084C-4106-9EB4-26D18F73E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3</xdr:row>
      <xdr:rowOff>1</xdr:rowOff>
    </xdr:from>
    <xdr:to>
      <xdr:col>40</xdr:col>
      <xdr:colOff>1</xdr:colOff>
      <xdr:row>12</xdr:row>
      <xdr:rowOff>1</xdr:rowOff>
    </xdr:to>
    <xdr:graphicFrame macro="">
      <xdr:nvGraphicFramePr>
        <xdr:cNvPr id="6" name="Chart 5">
          <a:extLst>
            <a:ext uri="{FF2B5EF4-FFF2-40B4-BE49-F238E27FC236}">
              <a16:creationId xmlns:a16="http://schemas.microsoft.com/office/drawing/2014/main" id="{87DEA89F-7FFC-4228-B4DA-B9D8D412B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16</xdr:row>
      <xdr:rowOff>0</xdr:rowOff>
    </xdr:from>
    <xdr:to>
      <xdr:col>16</xdr:col>
      <xdr:colOff>0</xdr:colOff>
      <xdr:row>18</xdr:row>
      <xdr:rowOff>1</xdr:rowOff>
    </xdr:to>
    <xdr:graphicFrame macro="">
      <xdr:nvGraphicFramePr>
        <xdr:cNvPr id="15" name="Chart 14">
          <a:extLst>
            <a:ext uri="{FF2B5EF4-FFF2-40B4-BE49-F238E27FC236}">
              <a16:creationId xmlns:a16="http://schemas.microsoft.com/office/drawing/2014/main" id="{42063497-0BCD-431F-B0A9-24340C3874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16</xdr:row>
      <xdr:rowOff>0</xdr:rowOff>
    </xdr:from>
    <xdr:to>
      <xdr:col>40</xdr:col>
      <xdr:colOff>0</xdr:colOff>
      <xdr:row>18</xdr:row>
      <xdr:rowOff>1</xdr:rowOff>
    </xdr:to>
    <xdr:graphicFrame macro="">
      <xdr:nvGraphicFramePr>
        <xdr:cNvPr id="21" name="Chart 20">
          <a:extLst>
            <a:ext uri="{FF2B5EF4-FFF2-40B4-BE49-F238E27FC236}">
              <a16:creationId xmlns:a16="http://schemas.microsoft.com/office/drawing/2014/main" id="{5C7D14A0-FC25-49F1-8FC4-63B592DD9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142874</xdr:colOff>
      <xdr:row>4</xdr:row>
      <xdr:rowOff>85725</xdr:rowOff>
    </xdr:from>
    <xdr:to>
      <xdr:col>24</xdr:col>
      <xdr:colOff>0</xdr:colOff>
      <xdr:row>11</xdr:row>
      <xdr:rowOff>180975</xdr:rowOff>
    </xdr:to>
    <xdr:graphicFrame macro="">
      <xdr:nvGraphicFramePr>
        <xdr:cNvPr id="3" name="Chart 2">
          <a:extLst>
            <a:ext uri="{FF2B5EF4-FFF2-40B4-BE49-F238E27FC236}">
              <a16:creationId xmlns:a16="http://schemas.microsoft.com/office/drawing/2014/main" id="{9C413AA3-69C9-4269-9D3B-11B440033B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3</xdr:row>
      <xdr:rowOff>0</xdr:rowOff>
    </xdr:from>
    <xdr:to>
      <xdr:col>23</xdr:col>
      <xdr:colOff>95250</xdr:colOff>
      <xdr:row>5</xdr:row>
      <xdr:rowOff>0</xdr:rowOff>
    </xdr:to>
    <xdr:sp macro="[0]!Start_Match_Trigger" textlink="">
      <xdr:nvSpPr>
        <xdr:cNvPr id="2" name="Rectangle 1">
          <a:extLst>
            <a:ext uri="{FF2B5EF4-FFF2-40B4-BE49-F238E27FC236}">
              <a16:creationId xmlns:a16="http://schemas.microsoft.com/office/drawing/2014/main" id="{8FE5F6D7-E774-49FE-A853-3A6E4A6D7461}"/>
            </a:ext>
          </a:extLst>
        </xdr:cNvPr>
        <xdr:cNvSpPr/>
      </xdr:nvSpPr>
      <xdr:spPr>
        <a:xfrm>
          <a:off x="5381625" y="809625"/>
          <a:ext cx="1809750" cy="476250"/>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0</xdr:rowOff>
    </xdr:from>
    <xdr:to>
      <xdr:col>3</xdr:col>
      <xdr:colOff>0</xdr:colOff>
      <xdr:row>4</xdr:row>
      <xdr:rowOff>0</xdr:rowOff>
    </xdr:to>
    <xdr:sp macro="[0]!ClearMatches" textlink="">
      <xdr:nvSpPr>
        <xdr:cNvPr id="2" name="Rectangle 1">
          <a:extLst>
            <a:ext uri="{FF2B5EF4-FFF2-40B4-BE49-F238E27FC236}">
              <a16:creationId xmlns:a16="http://schemas.microsoft.com/office/drawing/2014/main" id="{2927514E-359C-4561-AE73-8810CFD75F32}"/>
            </a:ext>
          </a:extLst>
        </xdr:cNvPr>
        <xdr:cNvSpPr/>
      </xdr:nvSpPr>
      <xdr:spPr>
        <a:xfrm>
          <a:off x="238125" y="657225"/>
          <a:ext cx="1714500" cy="2381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9BFC5F9-3D32-41FE-BBFD-E2209E1DEF10}" name="TT" displayName="TT" ref="B2:O117" totalsRowShown="0" headerRowDxfId="89" dataDxfId="88" tableBorderDxfId="87">
  <autoFilter ref="B2:O117" xr:uid="{9127BFD7-1835-4A37-9B42-D4BBC28FC012}">
    <filterColumn colId="3">
      <filters>
        <filter val="Workbook Setup"/>
      </filters>
    </filterColumn>
  </autoFilter>
  <tableColumns count="14">
    <tableColumn id="1" xr3:uid="{CE42922A-4411-4E21-8CA8-6F6D19592286}" name="Row" dataDxfId="86">
      <calculatedColumnFormula array="1">ROW()-ROW(TT[#Headers])</calculatedColumnFormula>
    </tableColumn>
    <tableColumn id="2" xr3:uid="{D55A41A6-9E41-402D-8001-D054F68D8070}" name="Tab" dataDxfId="85"/>
    <tableColumn id="3" xr3:uid="{4B32BB4E-9097-441A-B20D-85ADA3CE526D}" name="Location" dataDxfId="84"/>
    <tableColumn id="4" xr3:uid="{725DF8B0-3AAB-4E4A-9A14-B7A1479E5C31}" name="Language 1" dataDxfId="83"/>
    <tableColumn id="5" xr3:uid="{A52B282A-10A7-4DB0-9011-F391B7E5701C}" name="Language 2" dataDxfId="82"/>
    <tableColumn id="6" xr3:uid="{AFFA7E5E-6B7C-493B-A5E4-42369E25F460}" name="Language 3" dataDxfId="81"/>
    <tableColumn id="7" xr3:uid="{C1FE1347-F95D-4715-A985-A6A19C166362}" name="Language 4" dataDxfId="80"/>
    <tableColumn id="8" xr3:uid="{A75809F0-3433-409B-81DE-711DD5E32664}" name="Language 5" dataDxfId="79"/>
    <tableColumn id="9" xr3:uid="{5EFCA92D-E8BE-43F1-830B-D8B6F8D9921D}" name="Language 6" dataDxfId="78"/>
    <tableColumn id="10" xr3:uid="{EAF87623-A261-477E-A703-45787E48DAF5}" name="Language 7" dataDxfId="77"/>
    <tableColumn id="11" xr3:uid="{F56BE04A-DB14-4A3B-9D27-C36FE00F2A45}" name="Language 8" dataDxfId="76"/>
    <tableColumn id="12" xr3:uid="{EADA097F-E9C0-4686-AFDB-9EB3CA4A268A}" name="Language 9" dataDxfId="75"/>
    <tableColumn id="13" xr3:uid="{9BBC7EA0-26CF-4FB6-937B-28F008857F48}" name="Language 10" dataDxfId="74"/>
    <tableColumn id="14" xr3:uid="{98226D66-FC44-4E52-B3F9-9F9540389426}" name="Display" dataDxfId="73">
      <calculatedColumnFormula>IF(INDEX(TT[[#This Row],[Language 1]:[Language 10]],1,LanguageSelect)="",TT[[#This Row],[Language 1]],INDEX(TT[[#This Row],[Language 1]:[Language 10]],1,LanguageSelect))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179D1F2-E1B4-4A5A-8BFA-36B387586FD2}" name="tbl_RPSHist" displayName="tbl_RPSHist" ref="E3:W4" insertRow="1" totalsRowShown="0" tableBorderDxfId="68">
  <autoFilter ref="E3:W4" xr:uid="{6BCBB65C-4D12-46C3-8941-5CE309534F64}"/>
  <tableColumns count="19">
    <tableColumn id="1" xr3:uid="{1C9D9C34-127D-48BE-B1CE-7425367AD833}" name="Date"/>
    <tableColumn id="2" xr3:uid="{64862E37-DD04-4E6D-BD40-A2672E12C372}" name="Time"/>
    <tableColumn id="3" xr3:uid="{E4183944-D1CF-411E-9DAF-9E926352BBB0}" name="Player 1 - Round 1"/>
    <tableColumn id="4" xr3:uid="{1B932447-2A5F-4646-A21C-49EA2CB364DC}" name="Player 1 - Round 2"/>
    <tableColumn id="5" xr3:uid="{E6D0D3A9-B953-4ABC-A4C5-64091AA651F2}" name="Player 1 - Round 3"/>
    <tableColumn id="6" xr3:uid="{9B72DFD6-6F66-4D04-8E79-2AA8E61D00AB}" name="Player 1 - Round 4"/>
    <tableColumn id="7" xr3:uid="{3B359DD9-763C-41ED-A02F-1A7E0BCA9D5A}" name="Player 1 - Round 5"/>
    <tableColumn id="8" xr3:uid="{774356EB-3FB3-4A12-BFD5-E67319332707}" name="Player 2 - Round 1"/>
    <tableColumn id="9" xr3:uid="{083CCA02-F1A6-4AE4-B234-B08D935E5E02}" name="Player 2 - Round 2"/>
    <tableColumn id="10" xr3:uid="{4366CAE6-F91B-4737-8294-2C7A2284CEFD}" name="Player 2 - Round 3"/>
    <tableColumn id="11" xr3:uid="{CBBC8745-8208-4FF0-866C-6C73B86F8E89}" name="Player 2 - Round 4"/>
    <tableColumn id="12" xr3:uid="{3F503A5A-7B1A-4E35-917A-3EA790A89EA1}" name="Player 2 - Round 5"/>
    <tableColumn id="13" xr3:uid="{2F45634B-7157-48F1-9CB5-DEC7C81A5A51}" name="Match Winner"/>
    <tableColumn id="14" xr3:uid="{0C319D9F-F196-4315-870F-54EB22A0AF37}" name="Player - Rock" dataCellStyle="Percent">
      <calculatedColumnFormula>IFERROR(COUNTIF(tbl_RPSHist[[#This Row],[Player 1 - Round 1]:[Player 1 - Round 5]],1)/5,0)</calculatedColumnFormula>
    </tableColumn>
    <tableColumn id="15" xr3:uid="{6FBBBD37-0870-4A31-B483-3689D0929C31}" name="Player - Paper" dataCellStyle="Percent">
      <calculatedColumnFormula>IFERROR(COUNTIF(tbl_RPSHist[[#This Row],[Player 1 - Round 1]:[Player 1 - Round 5]],2)/5,0)</calculatedColumnFormula>
    </tableColumn>
    <tableColumn id="16" xr3:uid="{EE21A7C7-8B40-45BB-90F0-1E2C6B8BF8BC}" name="Player - Scissors" dataCellStyle="Percent">
      <calculatedColumnFormula>IFERROR(COUNTIF(tbl_RPSHist[[#This Row],[Player 1 - Round 1]:[Player 1 - Round 5]],3)/5,0)</calculatedColumnFormula>
    </tableColumn>
    <tableColumn id="17" xr3:uid="{366CE2FF-77B0-419A-A501-8864D958F664}" name="Excel - Rock" dataCellStyle="Percent">
      <calculatedColumnFormula>IFERROR(COUNTIF(tbl_RPSHist[[#This Row],[Player 2 - Round 1]:[Player 2 - Round 5]],1)/5,0)</calculatedColumnFormula>
    </tableColumn>
    <tableColumn id="18" xr3:uid="{7B633342-7C45-4536-9382-C059F020AF6A}" name="Excel - Paper" dataCellStyle="Percent">
      <calculatedColumnFormula>IFERROR(COUNTIF(tbl_RPSHist[[#This Row],[Player 2 - Round 1]:[Player 2 - Round 5]],2)/5,0)</calculatedColumnFormula>
    </tableColumn>
    <tableColumn id="19" xr3:uid="{77ACC19B-81DA-471A-9789-6D6CE304757A}" name="Excel - Scissors" dataCellStyle="Percent">
      <calculatedColumnFormula>IFERROR(COUNTIF(tbl_RPSHist[[#This Row],[Player 2 - Round 1]:[Player 2 - Round 5]],3)/5,0)</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0524B-EE0C-427B-AF17-E637BEF62A7F}" name="tbl_HC" displayName="tbl_HC" ref="B2:H29" totalsRowShown="0">
  <autoFilter ref="B2:H29" xr:uid="{3BE50507-0772-42B1-952A-A81A10AD2C7D}"/>
  <tableColumns count="7">
    <tableColumn id="7" xr3:uid="{69AD8031-DAAE-430C-9CD3-0DA2FAFF6252}" name="Row">
      <calculatedColumnFormula>ROW()-ROW(tbl_HC[#Headers])</calculatedColumnFormula>
    </tableColumn>
    <tableColumn id="1" xr3:uid="{E97B5033-218B-4BD5-9FCB-EDD78445164D}" name="Object"/>
    <tableColumn id="9" xr3:uid="{E698314D-D7AE-4D33-B678-CAB60F37BE7C}" name="ProperName">
      <calculatedColumnFormula>TT!$O55</calculatedColumnFormula>
    </tableColumn>
    <tableColumn id="3" xr3:uid="{0FADD1D8-B938-4F7F-923F-BCE4C24784B3}" name="X1" dataDxfId="67">
      <calculatedColumnFormula>ABS(HandSelVal-IF(tbl_HC[[#This Row],[ProperName]]=$D$3,3.2,IF(tbl_HC[[#This Row],[ProperName]]=$D$4,2.3,INDEX(Table13[],MATCH(VALUE(RIGHT(tbl_HC[[#This Row],[Object]],1)),Table13[Row],0),MATCH(LEFT(tbl_HC[[#This Row],[Object]],2)&amp;E$2,Table13[#Headers],0)))))</calculatedColumnFormula>
    </tableColumn>
    <tableColumn id="4" xr3:uid="{8B61C135-908A-4647-8DC6-60C5170C7094}" name="X2" dataDxfId="66">
      <calculatedColumnFormula>ABS(HandSelVal-IF(tbl_HC[[#This Row],[ProperName]]=$D$3,3.2,IF(tbl_HC[[#This Row],[ProperName]]=$D$4,2.3,INDEX(Table13[],MATCH(VALUE(RIGHT(tbl_HC[[#This Row],[Object]],1)),Table13[Row],0),MATCH(LEFT(tbl_HC[[#This Row],[Object]],2)&amp;F$2,Table13[#Headers],0)))))</calculatedColumnFormula>
    </tableColumn>
    <tableColumn id="5" xr3:uid="{E6E147EF-AB64-4FE3-8318-D41613DE288C}" name="Y1" dataDxfId="65">
      <calculatedColumnFormula>IF(OR(tbl_HC[[#This Row],[ProperName]]=$D$3,tbl_HC[[#This Row],[ProperName]]=$D$4),-10,INDEX(Table13[],MATCH(VALUE(RIGHT(tbl_HC[[#This Row],[Object]],1)),Table13[Row],0),MATCH(LEFT(tbl_HC[[#This Row],[Object]],2)&amp;G$2,Table13[#Headers],0)))</calculatedColumnFormula>
    </tableColumn>
    <tableColumn id="6" xr3:uid="{31306ED0-8D0E-4034-BE39-7DE828EC116E}" name="Y2" dataDxfId="64">
      <calculatedColumnFormula>IF(OR(tbl_HC[[#This Row],[ProperName]]=$D$3,tbl_HC[[#This Row],[ProperName]]=$D$4),14,INDEX(Table13[],MATCH(VALUE(RIGHT(tbl_HC[[#This Row],[Object]],1)),Table13[Row],0),MATCH(LEFT(tbl_HC[[#This Row],[Object]],2)&amp;H$2,Table13[#Headers],0)))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FDB7FD-85EA-4DE8-B205-F370BF511EFD}" name="Table13" displayName="Table13" ref="J2:AP7" totalsRowShown="0">
  <autoFilter ref="J2:AP7" xr:uid="{87004F97-5CE9-4FCE-B082-A1D64C113F0A}"/>
  <tableColumns count="33">
    <tableColumn id="7" xr3:uid="{A3F710B8-B9D0-44C1-8A95-86FCC5B448F0}" name="Row">
      <calculatedColumnFormula>ROW()-ROW(Table13[#Headers])</calculatedColumnFormula>
    </tableColumn>
    <tableColumn id="9" xr3:uid="{7632BD6F-8346-4DF7-9DFB-D260934950E0}" name="Finger">
      <calculatedColumnFormula>TT!$O26</calculatedColumnFormula>
    </tableColumn>
    <tableColumn id="3" xr3:uid="{E297A4F1-458F-43CE-951F-5C078CDB7716}" name="Flexion" dataDxfId="63">
      <calculatedColumnFormula>IF(AND($K$11,Table13[[#This Row],[Row]]&lt;&gt;2),100,INDEX('Data In'!$F$5:$J$5,Table13[[#This Row],[Row]]))</calculatedColumnFormula>
    </tableColumn>
    <tableColumn id="16" xr3:uid="{ADA04670-827F-431D-9318-3B7E4936996D}" name="FlexPerc" dataDxfId="62" dataCellStyle="Percent">
      <calculatedColumnFormula>(100-Table13[[#This Row],[Flexion]])/100</calculatedColumnFormula>
    </tableColumn>
    <tableColumn id="10" xr3:uid="{4279D252-E165-4384-AB0E-A1090F14A587}" name="ProxLenFull" dataDxfId="61"/>
    <tableColumn id="11" xr3:uid="{DBAF4C8D-7333-4E23-8CB2-68FFB1FE7E26}" name="IntLenFull" dataDxfId="60"/>
    <tableColumn id="12" xr3:uid="{20AE6655-7147-4491-BB13-FE1ED6722550}" name="DistLenFull" dataDxfId="59"/>
    <tableColumn id="2" xr3:uid="{3E480A48-6BAC-457B-BFDC-CD35C0984BB7}" name="FullExtension" dataDxfId="58">
      <calculatedColumnFormula>SUM(Table13[[#This Row],[ProxLenFull]:[DistLenFull]])</calculatedColumnFormula>
    </tableColumn>
    <tableColumn id="13" xr3:uid="{0B876369-2265-43AE-81FC-1FB7B411D3F1}" name="ProxLenAdj" dataDxfId="57">
      <calculatedColumnFormula>Table13[[#This Row],[FlexPerc]]*Table13[[#This Row],[ProxLenFull]]</calculatedColumnFormula>
    </tableColumn>
    <tableColumn id="14" xr3:uid="{8D3E4203-4F40-473C-B158-926466F558F9}" name="IntLenAdj" dataDxfId="56">
      <calculatedColumnFormula>(Table13[[#This Row],[IntLenFull]]*-0.75)+(Table13[[#This Row],[IntLenFull]]*Table13[[#This Row],[FlexPerc]]*1.75)</calculatedColumnFormula>
    </tableColumn>
    <tableColumn id="15" xr3:uid="{F36F4ABD-9B71-4B1F-9010-D6693FBB4865}" name="DistLenAdj" dataDxfId="55">
      <calculatedColumnFormula>IF(Table13[[#This Row],[Row]]=1,(Table13[[#This Row],[DistLenFull]]*-0.75)+(Table13[[#This Row],[DistLenFull]]*Table13[[#This Row],[FlexPerc]]*1.75),Table13[[#This Row],[DistLenFull]]*(MAX(0,Table13[[#This Row],[FlexPerc]]-0.5)*4-1))</calculatedColumnFormula>
    </tableColumn>
    <tableColumn id="33" xr3:uid="{6D3EE45A-2CBA-48EF-AFDD-26F598A4F5DA}" name="PhalFullExX" dataDxfId="54"/>
    <tableColumn id="34" xr3:uid="{D492E767-8C53-4618-8A33-BC6B0AB66696}" name="PhalFullExY" dataDxfId="53"/>
    <tableColumn id="4" xr3:uid="{746162F8-E201-4A21-9533-9FA697ACA28E}" name="WCX1" dataDxfId="52"/>
    <tableColumn id="5" xr3:uid="{42EEB31E-067E-4548-89B7-9EA095F1E992}" name="WCX2" dataDxfId="51"/>
    <tableColumn id="6" xr3:uid="{79AAC0AA-8C6B-405A-BAF1-3AEF4B23D325}" name="WCY1" dataDxfId="50"/>
    <tableColumn id="8" xr3:uid="{F8B51AFF-9A34-4FD8-AE7B-5C4DC4331DE4}" name="WCY2" dataDxfId="49"/>
    <tableColumn id="29" xr3:uid="{1FFDCC8C-B835-4C37-9C4D-446BE8E2C7E9}" name="MCX1" dataDxfId="48"/>
    <tableColumn id="30" xr3:uid="{4A4B63F2-A04C-4240-918F-7517A285C42A}" name="MCX2" dataDxfId="47"/>
    <tableColumn id="31" xr3:uid="{C1F65E74-118A-4F4E-A41E-FA388608D2D7}" name="MCY1" dataDxfId="46"/>
    <tableColumn id="32" xr3:uid="{47E597F5-7A5B-4452-A504-F9A3D45937F4}" name="MCY2" dataDxfId="45"/>
    <tableColumn id="21" xr3:uid="{8C41B161-30A1-4B55-81BE-93B430C6B7CB}" name="PPX1" dataDxfId="44">
      <calculatedColumnFormula>Table13[[#This Row],[MCX2]]</calculatedColumnFormula>
    </tableColumn>
    <tableColumn id="22" xr3:uid="{B3A767AF-CF79-4F2A-8A93-F33BF7CC0747}" name="PPX2" dataDxfId="43">
      <calculatedColumnFormula>(Table13[[#This Row],[PhalFullExX]]-Table13[[#This Row],[PPX1]])*(Table13[[#This Row],[ProxLenAdj]]/Table13[[#This Row],[FullExtension]])+Table13[[#This Row],[PPX1]]</calculatedColumnFormula>
    </tableColumn>
    <tableColumn id="23" xr3:uid="{C01D0AC8-BC9C-4861-88EC-CA362584C015}" name="PPY1" dataDxfId="42">
      <calculatedColumnFormula>Table13[[#This Row],[MCY2]]</calculatedColumnFormula>
    </tableColumn>
    <tableColumn id="24" xr3:uid="{7A01F89C-DC4E-4026-BEAB-14B0834E3161}" name="PPY2" dataDxfId="41">
      <calculatedColumnFormula>(Table13[[#This Row],[PhalFullExY]]-Table13[[#This Row],[PPY1]])*(Table13[[#This Row],[ProxLenAdj]]/Table13[[#This Row],[FullExtension]])+Table13[[#This Row],[PPY1]]</calculatedColumnFormula>
    </tableColumn>
    <tableColumn id="25" xr3:uid="{51898EAE-1CAE-4DA9-9C16-CAF72E325A94}" name="IPX1" dataDxfId="40">
      <calculatedColumnFormula>Table13[[#This Row],[PPX2]]</calculatedColumnFormula>
    </tableColumn>
    <tableColumn id="26" xr3:uid="{78739487-86B2-4E77-A25F-6F5FC3D635DB}" name="IPX2" dataDxfId="39">
      <calculatedColumnFormula>(Table13[[#This Row],[PhalFullExX]]-Table13[[#This Row],[MCX2]])*(Table13[[#This Row],[IntLenAdj]]/Table13[[#This Row],[FullExtension]])+Table13[[#This Row],[IPX1]]</calculatedColumnFormula>
    </tableColumn>
    <tableColumn id="27" xr3:uid="{1EABC1B5-68FB-4FBE-9CE6-B7CBA3B50CFC}" name="IPY1" dataDxfId="38">
      <calculatedColumnFormula>Table13[[#This Row],[PPY2]]</calculatedColumnFormula>
    </tableColumn>
    <tableColumn id="28" xr3:uid="{14B95B88-519B-45F5-82FF-3E577B51F197}" name="IPY2" dataDxfId="37">
      <calculatedColumnFormula>(Table13[[#This Row],[PhalFullExY]]-Table13[[#This Row],[MCY2]])*(Table13[[#This Row],[IntLenAdj]]/Table13[[#This Row],[FullExtension]])+Table13[[#This Row],[IPY1]]</calculatedColumnFormula>
    </tableColumn>
    <tableColumn id="17" xr3:uid="{FD922E76-087F-4B56-811A-059A802F86F5}" name="DPX1" dataDxfId="36">
      <calculatedColumnFormula>Table13[[#This Row],[IPX2]]</calculatedColumnFormula>
    </tableColumn>
    <tableColumn id="18" xr3:uid="{8A0AAEFD-D92F-4513-ACF3-DDA7FE577B27}" name="DPX2" dataDxfId="35">
      <calculatedColumnFormula>(Table13[[#This Row],[PhalFullExX]]-Table13[[#This Row],[MCX2]])*(Table13[[#This Row],[DistLenAdj]]/Table13[[#This Row],[FullExtension]])+Table13[[#This Row],[DPX1]]</calculatedColumnFormula>
    </tableColumn>
    <tableColumn id="19" xr3:uid="{0B20957D-5634-4A81-9FF2-A2535F8C4CA9}" name="DPY1" dataDxfId="34">
      <calculatedColumnFormula>Table13[[#This Row],[IPY2]]</calculatedColumnFormula>
    </tableColumn>
    <tableColumn id="20" xr3:uid="{CCF237C3-AB7D-4BF9-809B-8166BC6E2115}" name="DPY2" dataDxfId="33">
      <calculatedColumnFormula>(Table13[[#This Row],[PhalFullExY]]-Table13[[#This Row],[MCY2]])*(Table13[[#This Row],[DistLenAdj]]/Table13[[#This Row],[FullExtension]])+Table13[[#This Row],[DPY1]]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22B00E5-698A-4375-AFF5-CCB8DCB12D68}" name="Table4" displayName="Table4" ref="AR2:AW7" totalsRowShown="0">
  <autoFilter ref="AR2:AW7" xr:uid="{90D22AB6-A41D-44F1-82D0-9B76D13775F2}"/>
  <tableColumns count="6">
    <tableColumn id="1" xr3:uid="{9C65C811-920A-406E-9497-FB996BAD10EC}" name="Num"/>
    <tableColumn id="2" xr3:uid="{B52BC6C0-6279-486E-A3BF-63A9D8916B68}" name="Name" dataDxfId="32">
      <calculatedColumnFormula>INDEX(Table13[Finger],Table4[[#This Row],[Num]])</calculatedColumnFormula>
    </tableColumn>
    <tableColumn id="3" xr3:uid="{85732A14-B413-4A12-9893-79EC66633320}" name="Val" dataDxfId="31">
      <calculatedColumnFormula>100-INDEX(Table13[FlexPerc],Table4[[#This Row],[Num]])*100</calculatedColumnFormula>
    </tableColumn>
    <tableColumn id="4" xr3:uid="{531DD805-7567-40C3-A1EB-754CA7A22F77}" name="NotVal" dataDxfId="30">
      <calculatedColumnFormula>100-Table4[[#This Row],[Val]]</calculatedColumnFormula>
    </tableColumn>
    <tableColumn id="5" xr3:uid="{3978231A-3C06-421E-9702-71E2280AE0A5}" name="RangedVal" dataDxfId="29">
      <calculatedColumnFormula>IFERROR(MIN(MAX(Table4[[#This Row],[Val]],0),100),0)</calculatedColumnFormula>
    </tableColumn>
    <tableColumn id="6" xr3:uid="{451C8A9B-3573-4967-BA3D-B51A3BC46556}" name="GestureVal" dataDxfId="28">
      <calculatedColumnFormula>IF(AND(Table4[[#This Row],[RangedVal]]&gt;=0,Table4[[#This Row],[RangedVal]]&lt;45),"e",IF(AND(Table4[[#This Row],[RangedVal]]&gt;=25,Table4[[#This Row],[RangedVal]]&lt;=100),"f","n"))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1FB443-F1DC-4B32-AC2B-0D6199B25A3A}" name="Table3" displayName="Table3" ref="H2:AD29" totalsRowShown="0">
  <autoFilter ref="H2:AD29" xr:uid="{A1BCF588-C919-4E40-9E83-1BC486333B9E}"/>
  <tableColumns count="23">
    <tableColumn id="1" xr3:uid="{65FA0074-18D0-4A36-A37A-D9D8D534785F}" name="Row">
      <calculatedColumnFormula>ROW()-ROW(Table3[#Headers])</calculatedColumnFormula>
    </tableColumn>
    <tableColumn id="2" xr3:uid="{1B81361A-E519-4FAC-809A-30C9BE7ED7E3}" name="Object"/>
    <tableColumn id="3" xr3:uid="{B3C52D2F-CADB-44CE-AF9B-EB74BAA5B1B3}" name="ProperName">
      <calculatedColumnFormula>TT!$O55</calculatedColumnFormula>
    </tableColumn>
    <tableColumn id="12" xr3:uid="{0CFBD144-2605-435A-BD03-02351085E3A1}" name="G1_X1"/>
    <tableColumn id="13" xr3:uid="{25E0F09E-5F7E-46F7-A7C8-52F3D4AD413F}" name="G1_X2"/>
    <tableColumn id="14" xr3:uid="{0651B214-9182-4396-BB7E-9E9D7FF956D7}" name="G1_Y1"/>
    <tableColumn id="15" xr3:uid="{087BA13F-66FB-48BF-ADDC-E84065154635}" name="G1_Y2"/>
    <tableColumn id="16" xr3:uid="{9FD0B413-E538-4C05-9836-B650B1B2496C}" name="G2_X1"/>
    <tableColumn id="17" xr3:uid="{99482537-4D20-4B22-A04A-C714ED684490}" name="G2_X2"/>
    <tableColumn id="18" xr3:uid="{025953DE-19C4-41DB-AE9F-F68C469E7A24}" name="G2_Y1"/>
    <tableColumn id="19" xr3:uid="{671B49A0-0825-4313-8892-A5EBC666DEC4}" name="G2_Y2"/>
    <tableColumn id="20" xr3:uid="{D06D5DB6-BA86-4435-B1C8-3164F3D0A21A}" name="G3_X1"/>
    <tableColumn id="21" xr3:uid="{74C68BB7-D165-4C2B-A20F-3C286934BE00}" name="G3_X2"/>
    <tableColumn id="22" xr3:uid="{6716A818-9966-42DF-A2EC-EF71E1205BE3}" name="G3_Y1"/>
    <tableColumn id="23" xr3:uid="{3F04A3D7-0C9A-43B4-AEB3-62702828E79A}" name="G3_Y2"/>
    <tableColumn id="4" xr3:uid="{8452E928-54AC-4612-9428-03EA9D0875C2}" name="P1_X1" dataDxfId="27">
      <calculatedColumnFormula>INDEX(Table3[#This Row],,Gesture_P1*4)</calculatedColumnFormula>
    </tableColumn>
    <tableColumn id="5" xr3:uid="{636E276D-DBF2-4C30-90C7-E712A577DAF6}" name="P1_X2" dataDxfId="26">
      <calculatedColumnFormula>INDEX(Table3[#This Row],,Gesture_P1*4+1)</calculatedColumnFormula>
    </tableColumn>
    <tableColumn id="6" xr3:uid="{F165A033-E98D-4548-8345-E29C8F84A2C0}" name="P1_Y1" dataDxfId="25">
      <calculatedColumnFormula>INDEX(Table3[#This Row],,Gesture_P1*4+2)</calculatedColumnFormula>
    </tableColumn>
    <tableColumn id="7" xr3:uid="{C5C8C85A-9751-4ACF-A905-1D736B9FE6AA}" name="P1_Y2" dataDxfId="24">
      <calculatedColumnFormula>INDEX(Table3[#This Row],,Gesture_P1*4+3)</calculatedColumnFormula>
    </tableColumn>
    <tableColumn id="8" xr3:uid="{72B68497-471D-439C-B5B0-A165D11515E0}" name="P2_X1" dataDxfId="23">
      <calculatedColumnFormula>75-INDEX(Table3[#This Row],,Gesture_P2*4)</calculatedColumnFormula>
    </tableColumn>
    <tableColumn id="9" xr3:uid="{78DACC2C-3395-450A-BBEB-40B166489155}" name="P2_X2" dataDxfId="22">
      <calculatedColumnFormula>75-INDEX(Table3[#This Row],,Gesture_P2*4+1)</calculatedColumnFormula>
    </tableColumn>
    <tableColumn id="10" xr3:uid="{54172645-A3E3-4EA1-A218-E3930E5048A7}" name="P2_Y1" dataDxfId="21">
      <calculatedColumnFormula>INDEX(Table3[#This Row],,Gesture_P2*4+2)</calculatedColumnFormula>
    </tableColumn>
    <tableColumn id="11" xr3:uid="{129ABDBF-B052-4969-AA59-6524CB2792B7}" name="P2_Y2" dataDxfId="20">
      <calculatedColumnFormula>INDEX(Table3[#This Row],,Gesture_P2*4+3)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1294697-69A6-4092-9301-077050C1F28D}" name="Table5" displayName="Table5" ref="E2:F10" totalsRowShown="0">
  <autoFilter ref="E2:F10" xr:uid="{C5F970E6-C043-42CD-B1B1-004321892311}"/>
  <tableColumns count="2">
    <tableColumn id="1" xr3:uid="{3C5DF9A3-EA39-4363-A359-1A9B76AF56A2}" name="Combo"/>
    <tableColumn id="2" xr3:uid="{89E9CC48-A85E-427C-A78E-48906E92D425}" name="Val"/>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4E2DBA-CB02-49A4-BCDB-41FCE5ACC036}" name="Table7" displayName="Table7" ref="AF2:AY7" totalsRowShown="0">
  <autoFilter ref="AF2:AY7" xr:uid="{A15A108B-6655-4213-B190-F0383314EB3B}"/>
  <tableColumns count="20">
    <tableColumn id="1" xr3:uid="{68A6D090-5EE3-4584-9ACA-BD8475ABBC40}" name="Round" dataDxfId="19">
      <calculatedColumnFormula>ROW()-ROW(Table7[#Headers])</calculatedColumnFormula>
    </tableColumn>
    <tableColumn id="11" xr3:uid="{9E4A8306-B593-4CFA-B321-A48808AE53E5}" name="Ycoord" dataDxfId="18">
      <calculatedColumnFormula>1</calculatedColumnFormula>
    </tableColumn>
    <tableColumn id="14" xr3:uid="{255E583A-BE9A-4A2D-A9ED-D243C5142118}" name="RoundPlayed" dataDxfId="17">
      <calculatedColumnFormula>IF(OR(Table7[[#This Row],[Player]]="",Table7[[#This Row],[Player]]=0,),0,1)</calculatedColumnFormula>
    </tableColumn>
    <tableColumn id="2" xr3:uid="{0CFC81DA-0809-4715-A349-C53A19ADC5C9}" name="Player" dataDxfId="16">
      <calculatedColumnFormula>INDEX('Data In'!$N$5:$R$5,1,Table7[[#This Row],[Round]])</calculatedColumnFormula>
    </tableColumn>
    <tableColumn id="3" xr3:uid="{71628748-5A68-4DD6-B6B7-F6AA46129F82}" name="Excel" dataDxfId="15">
      <calculatedColumnFormula>INDEX('Data In'!$S$5:$W$5,1,Table7[[#This Row],[Round]])</calculatedColumnFormula>
    </tableColumn>
    <tableColumn id="4" xr3:uid="{FF772630-0665-4E5D-9388-4AF76A52C16D}" name="Winner" dataDxfId="14">
      <calculatedColumnFormula>IF(Table7[[#This Row],[Player]]=Table7[[#This Row],[Excel]],0,IF(OR(AND(Table7[[#This Row],[Player]]=2,Table7[[#This Row],[Excel]]=1),AND(Table7[[#This Row],[Player]]=3,Table7[[#This Row],[Excel]]=2),AND(Table7[[#This Row],[Player]]=1,Table7[[#This Row],[Excel]]=3)),1,-1))</calculatedColumnFormula>
    </tableColumn>
    <tableColumn id="5" xr3:uid="{8003118A-C1F7-459F-95E2-86DF0C417B40}" name="P1_1" dataDxfId="13">
      <calculatedColumnFormula>IF(Table7[[#This Row],[Player]]=1,Table7[[#This Row],[Round]],NA())</calculatedColumnFormula>
    </tableColumn>
    <tableColumn id="6" xr3:uid="{6B1C257E-EB32-4A08-BD74-1E02D8D6315B}" name="P1_2" dataDxfId="12">
      <calculatedColumnFormula>IF(Table7[[#This Row],[Player]]=2,Table7[[#This Row],[Round]],NA())</calculatedColumnFormula>
    </tableColumn>
    <tableColumn id="7" xr3:uid="{D515C758-8E4A-42DF-AF62-90F148AEFFA5}" name="P1_3" dataDxfId="11">
      <calculatedColumnFormula>IF(Table7[[#This Row],[Player]]=3,Table7[[#This Row],[Round]],NA())</calculatedColumnFormula>
    </tableColumn>
    <tableColumn id="8" xr3:uid="{1C52A9FA-CD3A-45E3-BEAC-6FB16AD5C30C}" name="P2_1" dataDxfId="10">
      <calculatedColumnFormula>IF(Table7[[#This Row],[Excel]]=1,Table7[[#This Row],[Round]],NA())</calculatedColumnFormula>
    </tableColumn>
    <tableColumn id="9" xr3:uid="{E3A31086-8C0B-495F-A25B-EEC9346950A8}" name="P2_2" dataDxfId="9">
      <calculatedColumnFormula>IF(Table7[[#This Row],[Excel]]=2,Table7[[#This Row],[Round]],NA())</calculatedColumnFormula>
    </tableColumn>
    <tableColumn id="10" xr3:uid="{7645FF7E-FC37-44C9-9DA8-CC9E643F408A}" name="P2_3" dataDxfId="8">
      <calculatedColumnFormula>IF(Table7[[#This Row],[Excel]]=3,Table7[[#This Row],[Round]],NA())</calculatedColumnFormula>
    </tableColumn>
    <tableColumn id="12" xr3:uid="{499661BF-285E-42F2-ACC5-6138F8C37D26}" name="Result_P1" dataDxfId="7">
      <calculatedColumnFormula>IF(AND(Table7[[#This Row],[Player]]=0,Table7[[#This Row],[Excel]]=0),"",INDEX(Table8[ResultText1],MATCH(Table7[[#This Row],[Winner]],Table8[ResultNum],0)))</calculatedColumnFormula>
    </tableColumn>
    <tableColumn id="13" xr3:uid="{522311BA-5BE4-4354-A203-84B2179A0740}" name="Result_P2" dataDxfId="6">
      <calculatedColumnFormula>IF(AND(Table7[[#This Row],[Player]]=0,Table7[[#This Row],[Excel]]=0),"",INDEX(Table8[ResultText2],MATCH(Table7[[#This Row],[Winner]],Table8[ResultNum],0)))</calculatedColumnFormula>
    </tableColumn>
    <tableColumn id="15" xr3:uid="{D838ACE0-E6B8-47DD-B5EB-E86D2C44DD7F}" name="Val_P1_1" dataDxfId="5">
      <calculatedColumnFormula>IFERROR(Table7[[#This Row],[P1_1]]/Table7[[#This Row],[P1_1]],0)</calculatedColumnFormula>
    </tableColumn>
    <tableColumn id="16" xr3:uid="{CD818BBE-FBF8-412D-8041-977D32B5EAB7}" name="Val_P1_2" dataDxfId="4">
      <calculatedColumnFormula>IFERROR(Table7[[#This Row],[P1_2]]/Table7[[#This Row],[P1_2]],0)</calculatedColumnFormula>
    </tableColumn>
    <tableColumn id="17" xr3:uid="{BD86BDBD-A379-4AF2-B0EF-98136817E2E8}" name="Val_P1_3" dataDxfId="3">
      <calculatedColumnFormula>IFERROR(Table7[[#This Row],[P1_3]]/Table7[[#This Row],[P1_3]],0)</calculatedColumnFormula>
    </tableColumn>
    <tableColumn id="18" xr3:uid="{ED361D55-6A0A-4401-A5D3-4C7A631464BE}" name="Val_P2_1" dataDxfId="2">
      <calculatedColumnFormula>IFERROR(Table7[[#This Row],[P2_1]]/Table7[[#This Row],[P2_1]],0)</calculatedColumnFormula>
    </tableColumn>
    <tableColumn id="19" xr3:uid="{6465B5A4-AD25-457B-97B7-683E98A8745B}" name="Val_P2_2" dataDxfId="1">
      <calculatedColumnFormula>IFERROR(Table7[[#This Row],[P2_2]]/Table7[[#This Row],[P2_2]],0)</calculatedColumnFormula>
    </tableColumn>
    <tableColumn id="20" xr3:uid="{B8271608-959C-4A63-9652-15945978BBBF}" name="Val_P2_3" dataDxfId="0">
      <calculatedColumnFormula>IFERROR(Table7[[#This Row],[P2_3]]/Table7[[#This Row],[P2_3]],0)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7653A5C-44B3-4E74-96CB-9CADEDDF141C}" name="Table8" displayName="Table8" ref="BA2:BD5" totalsRowShown="0">
  <autoFilter ref="BA2:BD5" xr:uid="{56A914F6-208F-4483-BC57-52509E630A67}"/>
  <tableColumns count="4">
    <tableColumn id="1" xr3:uid="{628F4AFC-5E82-455A-A76A-08D4CA0A2846}" name="ResultNum"/>
    <tableColumn id="2" xr3:uid="{A658C70B-5A1C-428C-88DD-77F414059FB6}" name="ResultText1"/>
    <tableColumn id="3" xr3:uid="{A638A451-F6C3-45D1-A2C2-4D9613819210}" name="ResultText2"/>
    <tableColumn id="4" xr3:uid="{E6F67254-9DA2-4DEC-A43A-8FC6233774A5}" name="RoundResult"/>
  </tableColumns>
  <tableStyleInfo name="TableStyleMedium2" showFirstColumn="0" showLastColumn="0" showRowStripes="1" showColumnStripes="0"/>
</table>
</file>

<file path=xl/theme/theme1.xml><?xml version="1.0" encoding="utf-8"?>
<a:theme xmlns:a="http://schemas.openxmlformats.org/drawingml/2006/main" name="HackingSTEM">
  <a:themeElements>
    <a:clrScheme name="HackingSTEM">
      <a:dk1>
        <a:srgbClr val="2F2F2F"/>
      </a:dk1>
      <a:lt1>
        <a:srgbClr val="FFFFFF"/>
      </a:lt1>
      <a:dk2>
        <a:srgbClr val="747474"/>
      </a:dk2>
      <a:lt2>
        <a:srgbClr val="F2F2F2"/>
      </a:lt2>
      <a:accent1>
        <a:srgbClr val="FFB900"/>
      </a:accent1>
      <a:accent2>
        <a:srgbClr val="D83B01"/>
      </a:accent2>
      <a:accent3>
        <a:srgbClr val="AA0000"/>
      </a:accent3>
      <a:accent4>
        <a:srgbClr val="EC008C"/>
      </a:accent4>
      <a:accent5>
        <a:srgbClr val="0078D4"/>
      </a:accent5>
      <a:accent6>
        <a:srgbClr val="009245"/>
      </a:accent6>
      <a:hlink>
        <a:srgbClr val="0078D4"/>
      </a:hlink>
      <a:folHlink>
        <a:srgbClr val="954F72"/>
      </a:folHlink>
    </a:clrScheme>
    <a:fontScheme name="Segoe UI">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6F17E-B75A-46D3-8B0D-504B0D69163F}">
  <sheetPr codeName="Sheet9"/>
  <dimension ref="B1:K5"/>
  <sheetViews>
    <sheetView tabSelected="1" zoomScale="322" zoomScaleNormal="322" workbookViewId="0"/>
  </sheetViews>
  <sheetFormatPr defaultColWidth="7.5" defaultRowHeight="22.5" customHeight="1"/>
  <cols>
    <col min="1" max="1" width="3.75" style="17" customWidth="1"/>
    <col min="2" max="2" width="3.125" style="17" customWidth="1"/>
    <col min="3" max="3" width="3.75" style="17" customWidth="1"/>
    <col min="4" max="6" width="7.5" style="17"/>
    <col min="7" max="7" width="3.125" style="17" customWidth="1"/>
    <col min="8" max="10" width="7.5" style="17"/>
    <col min="11" max="11" width="3.75" style="17" customWidth="1"/>
    <col min="12" max="16384" width="7.5" style="17"/>
  </cols>
  <sheetData>
    <row r="1" spans="2:11" ht="22.5" customHeight="1">
      <c r="B1" s="70" t="s">
        <v>0</v>
      </c>
    </row>
    <row r="2" spans="2:11" ht="26.25" customHeight="1" thickBot="1">
      <c r="B2" s="71" t="str">
        <f>TT!$O$117</f>
        <v>Workbook Setup</v>
      </c>
      <c r="C2" s="71"/>
      <c r="D2" s="71"/>
      <c r="E2" s="71"/>
      <c r="F2" s="71"/>
      <c r="G2" s="71"/>
      <c r="H2" s="71"/>
      <c r="I2" s="71"/>
      <c r="J2" s="71"/>
      <c r="K2" s="71"/>
    </row>
    <row r="3" spans="2:11" ht="17.25" thickBot="1">
      <c r="B3" s="16"/>
      <c r="C3" s="16"/>
      <c r="D3" s="16"/>
      <c r="E3" s="16"/>
      <c r="F3" s="16"/>
      <c r="G3" s="16"/>
      <c r="H3" s="16"/>
      <c r="I3" s="16"/>
      <c r="J3" s="16"/>
      <c r="K3" s="16"/>
    </row>
    <row r="4" spans="2:11" ht="26.25" customHeight="1" thickBot="1">
      <c r="B4" s="16"/>
      <c r="C4" s="72" t="str">
        <f>TT!$O$17</f>
        <v>Select language </v>
      </c>
      <c r="D4" s="72"/>
      <c r="E4" s="72"/>
      <c r="F4" s="72"/>
      <c r="G4" s="73" t="s">
        <v>1</v>
      </c>
      <c r="H4" s="74"/>
      <c r="I4" s="74"/>
      <c r="J4" s="75"/>
      <c r="K4" s="16"/>
    </row>
    <row r="5" spans="2:11" ht="15" customHeight="1">
      <c r="B5" s="16"/>
      <c r="C5" s="16"/>
      <c r="D5" s="16"/>
      <c r="E5" s="16"/>
      <c r="F5" s="16"/>
      <c r="G5" s="16"/>
      <c r="H5" s="16"/>
      <c r="I5" s="16"/>
      <c r="J5" s="16"/>
      <c r="K5" s="16"/>
    </row>
  </sheetData>
  <sheetProtection sheet="1" objects="1" scenarios="1"/>
  <protectedRanges>
    <protectedRange sqref="G4:J4" name="Range1"/>
  </protectedRanges>
  <mergeCells count="3">
    <mergeCell ref="B2:K2"/>
    <mergeCell ref="C4:F4"/>
    <mergeCell ref="G4:J4"/>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366ED62-F579-45C8-9BC6-18EBC158F3A2}">
          <x14:formula1>
            <xm:f>TT!$S$5:$S10</xm:f>
          </x14:formula1>
          <xm:sqref>G4:J4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ECDB-AFB9-45DC-8FFA-7AEADFE10324}">
  <sheetPr codeName="Sheet10"/>
  <dimension ref="B2:T117"/>
  <sheetViews>
    <sheetView zoomScale="85" zoomScaleNormal="85" workbookViewId="0">
      <selection activeCell="E117" sqref="E117:F117"/>
    </sheetView>
  </sheetViews>
  <sheetFormatPr defaultRowHeight="16.5" customHeight="1"/>
  <cols>
    <col min="1" max="1" width="3.75" style="50" customWidth="1"/>
    <col min="2" max="3" width="9" style="50"/>
    <col min="4" max="4" width="10.25" style="50" customWidth="1"/>
    <col min="5" max="15" width="15" style="50" customWidth="1"/>
    <col min="16" max="16384" width="9" style="50"/>
  </cols>
  <sheetData>
    <row r="2" spans="2:20" ht="16.5" customHeight="1">
      <c r="B2" s="67" t="s">
        <v>2</v>
      </c>
      <c r="C2" s="68" t="s">
        <v>3</v>
      </c>
      <c r="D2" s="68" t="s">
        <v>4</v>
      </c>
      <c r="E2" s="68" t="s">
        <v>5</v>
      </c>
      <c r="F2" s="68" t="s">
        <v>6</v>
      </c>
      <c r="G2" s="68" t="s">
        <v>7</v>
      </c>
      <c r="H2" s="68" t="s">
        <v>8</v>
      </c>
      <c r="I2" s="68" t="s">
        <v>9</v>
      </c>
      <c r="J2" s="68" t="s">
        <v>10</v>
      </c>
      <c r="K2" s="68" t="s">
        <v>11</v>
      </c>
      <c r="L2" s="68" t="s">
        <v>12</v>
      </c>
      <c r="M2" s="68" t="s">
        <v>13</v>
      </c>
      <c r="N2" s="68" t="s">
        <v>14</v>
      </c>
      <c r="O2" s="69" t="s">
        <v>15</v>
      </c>
    </row>
    <row r="3" spans="2:20" ht="16.5" hidden="1" customHeight="1">
      <c r="B3" s="61" cm="1">
        <f t="array" ref="B3">ROW()-ROW(TT[#Headers])</f>
        <v>1</v>
      </c>
      <c r="C3" s="61" t="s">
        <v>16</v>
      </c>
      <c r="D3" s="61" t="s">
        <v>17</v>
      </c>
      <c r="E3" s="61" t="s">
        <v>18</v>
      </c>
      <c r="F3" s="61" t="s">
        <v>19</v>
      </c>
      <c r="G3" s="61" t="s">
        <v>20</v>
      </c>
      <c r="H3" s="61" t="s">
        <v>21</v>
      </c>
      <c r="I3" s="61" t="s">
        <v>22</v>
      </c>
      <c r="J3" s="61" t="s">
        <v>23</v>
      </c>
      <c r="K3" s="61"/>
      <c r="L3" s="61"/>
      <c r="M3" s="61"/>
      <c r="N3" s="61"/>
      <c r="O3" s="61" t="str">
        <f>IF(INDEX(TT[[#This Row],[Language 1]:[Language 10]],1,LanguageSelect)="",TT[[#This Row],[Language 1]],INDEX(TT[[#This Row],[Language 1]:[Language 10]],1,LanguageSelect))</f>
        <v>Data In (From Source)</v>
      </c>
      <c r="R3" s="50" t="s">
        <v>24</v>
      </c>
      <c r="S3" s="50" t="str">
        <f>Instructions!$G$4</f>
        <v>English</v>
      </c>
      <c r="T3" s="50">
        <f>INDEX($R$5:$R$14,MATCH($S$3,$S$5:$S$14,0))</f>
        <v>1</v>
      </c>
    </row>
    <row r="4" spans="2:20" ht="16.5" hidden="1" customHeight="1">
      <c r="B4" s="61" cm="1">
        <f t="array" ref="B4">ROW()-ROW(TT[#Headers])</f>
        <v>2</v>
      </c>
      <c r="C4" s="61" t="s">
        <v>16</v>
      </c>
      <c r="D4" s="61" t="s">
        <v>25</v>
      </c>
      <c r="E4" s="61" t="s">
        <v>26</v>
      </c>
      <c r="F4" s="61" t="s">
        <v>27</v>
      </c>
      <c r="G4" s="61" t="s">
        <v>28</v>
      </c>
      <c r="H4" s="61" t="s">
        <v>29</v>
      </c>
      <c r="I4" s="61" t="s">
        <v>30</v>
      </c>
      <c r="J4" s="61" t="s">
        <v>31</v>
      </c>
      <c r="K4" s="61"/>
      <c r="L4" s="61"/>
      <c r="M4" s="61"/>
      <c r="N4" s="61"/>
      <c r="O4" s="61" t="str">
        <f>IF(INDEX(TT[[#This Row],[Language 1]:[Language 10]],1,LanguageSelect)="",TT[[#This Row],[Language 1]],INDEX(TT[[#This Row],[Language 1]:[Language 10]],1,LanguageSelect))</f>
        <v>Data coming from the current data source will appear below as it is received.</v>
      </c>
    </row>
    <row r="5" spans="2:20" ht="16.5" hidden="1" customHeight="1">
      <c r="B5" s="61" cm="1">
        <f t="array" ref="B5">ROW()-ROW(TT[#Headers])</f>
        <v>3</v>
      </c>
      <c r="C5" s="61" t="s">
        <v>16</v>
      </c>
      <c r="D5" s="61" t="s">
        <v>32</v>
      </c>
      <c r="E5" s="61" t="s">
        <v>33</v>
      </c>
      <c r="F5" s="61" t="s">
        <v>34</v>
      </c>
      <c r="G5" s="61" t="s">
        <v>35</v>
      </c>
      <c r="H5" s="61" t="s">
        <v>36</v>
      </c>
      <c r="I5" s="61" t="s">
        <v>37</v>
      </c>
      <c r="J5" s="61" t="s">
        <v>38</v>
      </c>
      <c r="K5" s="61"/>
      <c r="L5" s="61"/>
      <c r="M5" s="61"/>
      <c r="N5" s="61"/>
      <c r="O5" s="61" t="str">
        <f>IF(INDEX(TT[[#This Row],[Language 1]:[Language 10]],1,LanguageSelect)="",TT[[#This Row],[Language 1]],INDEX(TT[[#This Row],[Language 1]:[Language 10]],1,LanguageSelect))</f>
        <v>Current Data</v>
      </c>
      <c r="R5" s="50">
        <v>1</v>
      </c>
      <c r="S5" s="50" t="s">
        <v>1</v>
      </c>
    </row>
    <row r="6" spans="2:20" ht="16.5" hidden="1" customHeight="1">
      <c r="B6" s="61" cm="1">
        <f t="array" ref="B6">ROW()-ROW(TT[#Headers])</f>
        <v>4</v>
      </c>
      <c r="C6" s="61" t="s">
        <v>16</v>
      </c>
      <c r="D6" s="61" t="s">
        <v>39</v>
      </c>
      <c r="E6" s="61" t="s">
        <v>40</v>
      </c>
      <c r="F6" s="61" t="s">
        <v>41</v>
      </c>
      <c r="G6" s="61" t="s">
        <v>42</v>
      </c>
      <c r="H6" s="61" t="s">
        <v>43</v>
      </c>
      <c r="I6" s="61" t="s">
        <v>44</v>
      </c>
      <c r="J6" s="61" t="s">
        <v>45</v>
      </c>
      <c r="K6" s="61"/>
      <c r="L6" s="61"/>
      <c r="M6" s="61"/>
      <c r="N6" s="61"/>
      <c r="O6" s="61" t="str">
        <f>IF(INDEX(TT[[#This Row],[Language 1]:[Language 10]],1,LanguageSelect)="",TT[[#This Row],[Language 1]],INDEX(TT[[#This Row],[Language 1]:[Language 10]],1,LanguageSelect))</f>
        <v>Time</v>
      </c>
      <c r="R6" s="50">
        <v>2</v>
      </c>
      <c r="S6" s="50" t="s">
        <v>46</v>
      </c>
    </row>
    <row r="7" spans="2:20" ht="16.5" hidden="1" customHeight="1">
      <c r="B7" s="61" cm="1">
        <f t="array" ref="B7">ROW()-ROW(TT[#Headers])</f>
        <v>5</v>
      </c>
      <c r="C7" s="61" t="s">
        <v>16</v>
      </c>
      <c r="D7" s="61" t="s">
        <v>47</v>
      </c>
      <c r="E7" s="61" t="s">
        <v>48</v>
      </c>
      <c r="F7" s="61" t="s">
        <v>49</v>
      </c>
      <c r="G7" s="61" t="s">
        <v>50</v>
      </c>
      <c r="H7" s="61" t="s">
        <v>51</v>
      </c>
      <c r="I7" s="61" t="s">
        <v>52</v>
      </c>
      <c r="J7" s="61" t="s">
        <v>53</v>
      </c>
      <c r="K7" s="61"/>
      <c r="L7" s="61"/>
      <c r="M7" s="61"/>
      <c r="N7" s="61"/>
      <c r="O7" s="61" t="str">
        <f>IF(INDEX(TT[[#This Row],[Language 1]:[Language 10]],1,LanguageSelect)="",TT[[#This Row],[Language 1]],INDEX(TT[[#This Row],[Language 1]:[Language 10]],1,LanguageSelect))</f>
        <v>Historical Data</v>
      </c>
      <c r="R7" s="50">
        <v>3</v>
      </c>
      <c r="S7" s="50" t="s">
        <v>54</v>
      </c>
    </row>
    <row r="8" spans="2:20" ht="16.5" hidden="1" customHeight="1">
      <c r="B8" s="61" cm="1">
        <f t="array" ref="B8">ROW()-ROW(TT[#Headers])</f>
        <v>6</v>
      </c>
      <c r="C8" s="61" t="s">
        <v>55</v>
      </c>
      <c r="D8" s="61" t="s">
        <v>56</v>
      </c>
      <c r="E8" s="61" t="s">
        <v>57</v>
      </c>
      <c r="F8" s="61" t="s">
        <v>58</v>
      </c>
      <c r="G8" s="61" t="s">
        <v>59</v>
      </c>
      <c r="H8" s="61" t="s">
        <v>60</v>
      </c>
      <c r="I8" s="61" t="s">
        <v>61</v>
      </c>
      <c r="J8" s="61" t="s">
        <v>62</v>
      </c>
      <c r="K8" s="61"/>
      <c r="L8" s="61"/>
      <c r="M8" s="61"/>
      <c r="N8" s="61"/>
      <c r="O8" s="61" t="str">
        <f>IF(INDEX(TT[[#This Row],[Language 1]:[Language 10]],1,LanguageSelect)="",TT[[#This Row],[Language 1]],INDEX(TT[[#This Row],[Language 1]:[Language 10]],1,LanguageSelect))</f>
        <v>Data Out (To Device)</v>
      </c>
      <c r="R8" s="50">
        <v>4</v>
      </c>
      <c r="S8" s="50" t="s">
        <v>63</v>
      </c>
    </row>
    <row r="9" spans="2:20" ht="16.5" hidden="1" customHeight="1">
      <c r="B9" s="61" cm="1">
        <f t="array" ref="B9">ROW()-ROW(TT[#Headers])</f>
        <v>7</v>
      </c>
      <c r="C9" s="61" t="s">
        <v>55</v>
      </c>
      <c r="D9" s="61" t="s">
        <v>64</v>
      </c>
      <c r="E9" s="61" t="s">
        <v>65</v>
      </c>
      <c r="F9" s="61" t="s">
        <v>66</v>
      </c>
      <c r="G9" s="61" t="s">
        <v>67</v>
      </c>
      <c r="H9" s="61" t="s">
        <v>68</v>
      </c>
      <c r="I9" s="61" t="s">
        <v>69</v>
      </c>
      <c r="J9" s="61" t="s">
        <v>70</v>
      </c>
      <c r="K9" s="61"/>
      <c r="L9" s="61"/>
      <c r="M9" s="61"/>
      <c r="N9" s="61"/>
      <c r="O9" s="61" t="str">
        <f>IF(INDEX(TT[[#This Row],[Language 1]:[Language 10]],1,LanguageSelect)="",TT[[#This Row],[Language 1]],INDEX(TT[[#This Row],[Language 1]:[Language 10]],1,LanguageSelect))</f>
        <v>Data entered into the channels below will be sent to the currently connected device as a comma-delimited string.</v>
      </c>
      <c r="R9" s="50">
        <v>5</v>
      </c>
      <c r="S9" s="50" t="s">
        <v>71</v>
      </c>
    </row>
    <row r="10" spans="2:20" ht="16.5" hidden="1" customHeight="1">
      <c r="B10" s="61" cm="1">
        <f t="array" ref="B10">ROW()-ROW(TT[#Headers])</f>
        <v>8</v>
      </c>
      <c r="C10" s="61" t="s">
        <v>72</v>
      </c>
      <c r="D10" s="61" t="s">
        <v>73</v>
      </c>
      <c r="E10" s="61" t="s">
        <v>74</v>
      </c>
      <c r="F10" s="61" t="s">
        <v>75</v>
      </c>
      <c r="G10" s="61" t="s">
        <v>76</v>
      </c>
      <c r="H10" s="61" t="s">
        <v>77</v>
      </c>
      <c r="I10" s="61" t="s">
        <v>78</v>
      </c>
      <c r="J10" s="61" t="s">
        <v>79</v>
      </c>
      <c r="K10" s="61"/>
      <c r="L10" s="61"/>
      <c r="M10" s="61"/>
      <c r="N10" s="61"/>
      <c r="O10" s="61" t="str">
        <f>IF(INDEX(TT[[#This Row],[Language 1]:[Language 10]],1,LanguageSelect)="",TT[[#This Row],[Language 1]],INDEX(TT[[#This Row],[Language 1]:[Language 10]],1,LanguageSelect))</f>
        <v>Workbook Settings</v>
      </c>
      <c r="R10" s="50">
        <v>6</v>
      </c>
      <c r="S10" s="50" t="s">
        <v>80</v>
      </c>
    </row>
    <row r="11" spans="2:20" ht="16.5" hidden="1" customHeight="1">
      <c r="B11" s="61" cm="1">
        <f t="array" ref="B11">ROW()-ROW(TT[#Headers])</f>
        <v>9</v>
      </c>
      <c r="C11" s="61" t="s">
        <v>72</v>
      </c>
      <c r="D11" s="61" t="s">
        <v>81</v>
      </c>
      <c r="E11" s="61" t="s">
        <v>82</v>
      </c>
      <c r="F11" s="61" t="s">
        <v>83</v>
      </c>
      <c r="G11" s="61" t="s">
        <v>84</v>
      </c>
      <c r="H11" s="61" t="s">
        <v>85</v>
      </c>
      <c r="I11" s="61" t="s">
        <v>86</v>
      </c>
      <c r="J11" s="61" t="s">
        <v>87</v>
      </c>
      <c r="K11" s="61"/>
      <c r="L11" s="61"/>
      <c r="M11" s="61"/>
      <c r="N11" s="61"/>
      <c r="O11" s="61" t="str">
        <f>IF(INDEX(TT[[#This Row],[Language 1]:[Language 10]],1,LanguageSelect)="",TT[[#This Row],[Language 1]],INDEX(TT[[#This Row],[Language 1]:[Language 10]],1,LanguageSelect))</f>
        <v>Settings below will affect how data is read into the current workbook from data sources. Clear a field's contents to revert to its default setting.</v>
      </c>
      <c r="R11" s="50">
        <v>7</v>
      </c>
    </row>
    <row r="12" spans="2:20" ht="16.5" hidden="1" customHeight="1">
      <c r="B12" s="61" cm="1">
        <f t="array" ref="B12">ROW()-ROW(TT[#Headers])</f>
        <v>10</v>
      </c>
      <c r="C12" s="61" t="s">
        <v>72</v>
      </c>
      <c r="D12" s="61" t="s">
        <v>88</v>
      </c>
      <c r="E12" s="61" t="s">
        <v>89</v>
      </c>
      <c r="F12" s="61" t="s">
        <v>90</v>
      </c>
      <c r="G12" s="61" t="s">
        <v>91</v>
      </c>
      <c r="H12" s="61" t="s">
        <v>92</v>
      </c>
      <c r="I12" s="61" t="s">
        <v>93</v>
      </c>
      <c r="J12" s="61" t="s">
        <v>94</v>
      </c>
      <c r="K12" s="61"/>
      <c r="L12" s="61"/>
      <c r="M12" s="61"/>
      <c r="N12" s="61"/>
      <c r="O12" s="61" t="str">
        <f>IF(INDEX(TT[[#This Row],[Language 1]:[Language 10]],1,LanguageSelect)="",TT[[#This Row],[Language 1]],INDEX(TT[[#This Row],[Language 1]:[Language 10]],1,LanguageSelect))</f>
        <v>Data interval (ms):</v>
      </c>
      <c r="R12" s="50">
        <v>8</v>
      </c>
    </row>
    <row r="13" spans="2:20" ht="16.5" hidden="1" customHeight="1">
      <c r="B13" s="61" cm="1">
        <f t="array" ref="B13">ROW()-ROW(TT[#Headers])</f>
        <v>11</v>
      </c>
      <c r="C13" s="61" t="s">
        <v>72</v>
      </c>
      <c r="D13" s="61" t="s">
        <v>95</v>
      </c>
      <c r="E13" s="61" t="s">
        <v>96</v>
      </c>
      <c r="F13" s="61" t="s">
        <v>97</v>
      </c>
      <c r="G13" s="61" t="s">
        <v>98</v>
      </c>
      <c r="H13" s="61" t="s">
        <v>99</v>
      </c>
      <c r="I13" s="61" t="s">
        <v>100</v>
      </c>
      <c r="J13" s="61" t="s">
        <v>101</v>
      </c>
      <c r="K13" s="61"/>
      <c r="L13" s="61"/>
      <c r="M13" s="61"/>
      <c r="N13" s="61"/>
      <c r="O13" s="61" t="str">
        <f>IF(INDEX(TT[[#This Row],[Language 1]:[Language 10]],1,LanguageSelect)="",TT[[#This Row],[Language 1]],INDEX(TT[[#This Row],[Language 1]:[Language 10]],1,LanguageSelect))</f>
        <v>Data rows:</v>
      </c>
      <c r="R13" s="50">
        <v>9</v>
      </c>
    </row>
    <row r="14" spans="2:20" ht="16.5" hidden="1" customHeight="1">
      <c r="B14" s="61" cm="1">
        <f t="array" ref="B14">ROW()-ROW(TT[#Headers])</f>
        <v>12</v>
      </c>
      <c r="C14" s="61" t="s">
        <v>72</v>
      </c>
      <c r="D14" s="61" t="s">
        <v>102</v>
      </c>
      <c r="E14" s="61" t="s">
        <v>103</v>
      </c>
      <c r="F14" s="61" t="s">
        <v>104</v>
      </c>
      <c r="G14" s="61" t="s">
        <v>105</v>
      </c>
      <c r="H14" s="61" t="s">
        <v>106</v>
      </c>
      <c r="I14" s="61" t="s">
        <v>107</v>
      </c>
      <c r="J14" s="61" t="s">
        <v>108</v>
      </c>
      <c r="K14" s="61"/>
      <c r="L14" s="61"/>
      <c r="M14" s="61"/>
      <c r="N14" s="61"/>
      <c r="O14" s="61" t="str">
        <f>IF(INDEX(TT[[#This Row],[Language 1]:[Language 10]],1,LanguageSelect)="",TT[[#This Row],[Language 1]],INDEX(TT[[#This Row],[Language 1]:[Language 10]],1,LanguageSelect))</f>
        <v>Data channels:</v>
      </c>
      <c r="R14" s="50">
        <v>10</v>
      </c>
    </row>
    <row r="15" spans="2:20" ht="16.5" hidden="1" customHeight="1">
      <c r="B15" s="61" cm="1">
        <f t="array" ref="B15">ROW()-ROW(TT[#Headers])</f>
        <v>13</v>
      </c>
      <c r="C15" s="61" t="s">
        <v>72</v>
      </c>
      <c r="D15" s="61" t="s">
        <v>109</v>
      </c>
      <c r="E15" s="61" t="s">
        <v>110</v>
      </c>
      <c r="F15" s="61" t="s">
        <v>111</v>
      </c>
      <c r="G15" s="61" t="s">
        <v>112</v>
      </c>
      <c r="H15" s="61" t="s">
        <v>113</v>
      </c>
      <c r="I15" s="61" t="s">
        <v>114</v>
      </c>
      <c r="J15" s="61" t="s">
        <v>115</v>
      </c>
      <c r="K15" s="61"/>
      <c r="L15" s="61"/>
      <c r="M15" s="61"/>
      <c r="N15" s="61"/>
      <c r="O15" s="61" t="str">
        <f>IF(INDEX(TT[[#This Row],[Language 1]:[Language 10]],1,LanguageSelect)="",TT[[#This Row],[Language 1]],INDEX(TT[[#This Row],[Language 1]:[Language 10]],1,LanguageSelect))</f>
        <v>Data orientation:</v>
      </c>
    </row>
    <row r="16" spans="2:20" ht="16.5" hidden="1" customHeight="1">
      <c r="B16" s="61" cm="1">
        <f t="array" ref="B16">ROW()-ROW(TT[#Headers])</f>
        <v>14</v>
      </c>
      <c r="C16" s="61" t="s">
        <v>72</v>
      </c>
      <c r="D16" s="61" t="s">
        <v>116</v>
      </c>
      <c r="E16" s="61" t="s">
        <v>117</v>
      </c>
      <c r="F16" s="61" t="s">
        <v>118</v>
      </c>
      <c r="G16" s="61" t="s">
        <v>119</v>
      </c>
      <c r="H16" s="61" t="s">
        <v>120</v>
      </c>
      <c r="I16" s="61" t="s">
        <v>121</v>
      </c>
      <c r="J16" s="61" t="s">
        <v>122</v>
      </c>
      <c r="K16" s="61"/>
      <c r="L16" s="61"/>
      <c r="M16" s="61"/>
      <c r="N16" s="61"/>
      <c r="O16" s="61" t="str">
        <f>IF(INDEX(TT[[#This Row],[Language 1]:[Language 10]],1,LanguageSelect)="",TT[[#This Row],[Language 1]],INDEX(TT[[#This Row],[Language 1]:[Language 10]],1,LanguageSelect))</f>
        <v>WARNING: Changing settings may result in the loss of content and/or custom formatting in the Data In and Data Out worksheets. Always save before changing values.</v>
      </c>
    </row>
    <row r="17" spans="2:15" ht="16.5" hidden="1" customHeight="1">
      <c r="B17" s="61" cm="1">
        <f t="array" ref="B17">ROW()-ROW(TT[#Headers])</f>
        <v>15</v>
      </c>
      <c r="C17" s="61" t="s">
        <v>123</v>
      </c>
      <c r="D17" s="61" t="s">
        <v>124</v>
      </c>
      <c r="E17" s="61" t="s">
        <v>125</v>
      </c>
      <c r="F17" s="61" t="s">
        <v>126</v>
      </c>
      <c r="G17" s="61" t="s">
        <v>127</v>
      </c>
      <c r="H17" s="61" t="s">
        <v>128</v>
      </c>
      <c r="I17" s="61" t="s">
        <v>129</v>
      </c>
      <c r="J17" s="61" t="s">
        <v>130</v>
      </c>
      <c r="K17" s="61"/>
      <c r="L17" s="61"/>
      <c r="M17" s="61"/>
      <c r="N17" s="61"/>
      <c r="O17" s="61" t="str">
        <f>IF(INDEX(TT[[#This Row],[Language 1]:[Language 10]],1,LanguageSelect)="",TT[[#This Row],[Language 1]],INDEX(TT[[#This Row],[Language 1]:[Language 10]],1,LanguageSelect))</f>
        <v>Select language </v>
      </c>
    </row>
    <row r="18" spans="2:15" ht="16.5" hidden="1" customHeight="1">
      <c r="B18" s="61" cm="1">
        <f t="array" ref="B18">ROW()-ROW(TT[#Headers])</f>
        <v>16</v>
      </c>
      <c r="C18" s="61" t="s">
        <v>123</v>
      </c>
      <c r="D18" s="61" t="s">
        <v>131</v>
      </c>
      <c r="E18" s="61" t="s">
        <v>132</v>
      </c>
      <c r="F18" s="61" t="s">
        <v>133</v>
      </c>
      <c r="G18" s="61" t="s">
        <v>134</v>
      </c>
      <c r="H18" s="61" t="s">
        <v>135</v>
      </c>
      <c r="I18" s="61" t="s">
        <v>136</v>
      </c>
      <c r="J18" s="61" t="s">
        <v>137</v>
      </c>
      <c r="K18" s="61"/>
      <c r="L18" s="61"/>
      <c r="M18" s="61"/>
      <c r="N18" s="61"/>
      <c r="O18" s="61" t="str">
        <f>IF(INDEX(TT[[#This Row],[Language 1]:[Language 10]],1,LanguageSelect)="",TT[[#This Row],[Language 1]],INDEX(TT[[#This Row],[Language 1]:[Language 10]],1,LanguageSelect))</f>
        <v>This workbook uses "Macros" (automated Excel commands) to assist in the data collection process.</v>
      </c>
    </row>
    <row r="19" spans="2:15" ht="16.5" hidden="1" customHeight="1">
      <c r="B19" s="61" cm="1">
        <f t="array" ref="B19">ROW()-ROW(TT[#Headers])</f>
        <v>17</v>
      </c>
      <c r="C19" s="61" t="s">
        <v>123</v>
      </c>
      <c r="D19" s="61" t="s">
        <v>138</v>
      </c>
      <c r="E19" s="61" t="s">
        <v>139</v>
      </c>
      <c r="F19" s="61" t="s">
        <v>140</v>
      </c>
      <c r="G19" s="61" t="s">
        <v>141</v>
      </c>
      <c r="H19" s="61" t="s">
        <v>142</v>
      </c>
      <c r="I19" s="61" t="s">
        <v>143</v>
      </c>
      <c r="J19" s="61" t="s">
        <v>144</v>
      </c>
      <c r="K19" s="61"/>
      <c r="L19" s="61"/>
      <c r="M19" s="61"/>
      <c r="N19" s="61"/>
      <c r="O19" s="61" t="str">
        <f>IF(INDEX(TT[[#This Row],[Language 1]:[Language 10]],1,LanguageSelect)="",TT[[#This Row],[Language 1]],INDEX(TT[[#This Row],[Language 1]:[Language 10]],1,LanguageSelect))</f>
        <v>To use these Macros and have buttons on the spreadsheets work, you must "Enable" the Macros.</v>
      </c>
    </row>
    <row r="20" spans="2:15" ht="16.5" hidden="1" customHeight="1">
      <c r="B20" s="61" cm="1">
        <f t="array" ref="B20">ROW()-ROW(TT[#Headers])</f>
        <v>18</v>
      </c>
      <c r="C20" s="61" t="s">
        <v>123</v>
      </c>
      <c r="D20" s="61" t="s">
        <v>145</v>
      </c>
      <c r="E20" s="61" t="s">
        <v>146</v>
      </c>
      <c r="F20" s="61" t="s">
        <v>147</v>
      </c>
      <c r="G20" s="61" t="s">
        <v>148</v>
      </c>
      <c r="H20" s="61" t="s">
        <v>149</v>
      </c>
      <c r="I20" s="61" t="s">
        <v>150</v>
      </c>
      <c r="J20" s="61" t="s">
        <v>151</v>
      </c>
      <c r="K20" s="61"/>
      <c r="L20" s="61"/>
      <c r="M20" s="61"/>
      <c r="N20" s="61"/>
      <c r="O20" s="61" t="str">
        <f>IF(INDEX(TT[[#This Row],[Language 1]:[Language 10]],1,LanguageSelect)="",TT[[#This Row],[Language 1]],INDEX(TT[[#This Row],[Language 1]:[Language 10]],1,LanguageSelect))</f>
        <v>Click the "Enable Content" button that appears above when you first open this workbook.</v>
      </c>
    </row>
    <row r="21" spans="2:15" ht="16.5" hidden="1" customHeight="1">
      <c r="B21" s="61" cm="1">
        <f t="array" ref="B21">ROW()-ROW(TT[#Headers])</f>
        <v>19</v>
      </c>
      <c r="C21" s="61" t="s">
        <v>123</v>
      </c>
      <c r="D21" s="61" t="s">
        <v>152</v>
      </c>
      <c r="E21" s="61" t="s">
        <v>153</v>
      </c>
      <c r="F21" s="61" t="s">
        <v>154</v>
      </c>
      <c r="G21" s="61" t="s">
        <v>155</v>
      </c>
      <c r="H21" s="61" t="s">
        <v>156</v>
      </c>
      <c r="I21" s="61" t="s">
        <v>157</v>
      </c>
      <c r="J21" s="61" t="s">
        <v>158</v>
      </c>
      <c r="K21" s="61"/>
      <c r="L21" s="61"/>
      <c r="M21" s="61"/>
      <c r="N21" s="61"/>
      <c r="O21" s="61" t="str">
        <f>IF(INDEX(TT[[#This Row],[Language 1]:[Language 10]],1,LanguageSelect)="",TT[[#This Row],[Language 1]],INDEX(TT[[#This Row],[Language 1]:[Language 10]],1,LanguageSelect))</f>
        <v>Once you have enabled macros, you can use the workbook.  If you do not see this message, macros are enabled.</v>
      </c>
    </row>
    <row r="22" spans="2:15" ht="16.5" hidden="1" customHeight="1">
      <c r="B22" s="61" cm="1">
        <f t="array" ref="B22">ROW()-ROW(TT[#Headers])</f>
        <v>20</v>
      </c>
      <c r="C22" s="61"/>
      <c r="D22" s="61"/>
      <c r="E22" s="61" t="s">
        <v>159</v>
      </c>
      <c r="F22" s="61" t="s">
        <v>160</v>
      </c>
      <c r="G22" s="61" t="s">
        <v>161</v>
      </c>
      <c r="H22" s="61" t="s">
        <v>162</v>
      </c>
      <c r="I22" s="61" t="s">
        <v>163</v>
      </c>
      <c r="J22" s="61" t="s">
        <v>164</v>
      </c>
      <c r="K22" s="61"/>
      <c r="L22" s="61"/>
      <c r="M22" s="61"/>
      <c r="N22" s="61"/>
      <c r="O22" s="61" t="str">
        <f>IF(INDEX(TT[[#This Row],[Language 1]:[Language 10]],1,LanguageSelect)="",TT[[#This Row],[Language 1]],INDEX(TT[[#This Row],[Language 1]:[Language 10]],1,LanguageSelect))</f>
        <v>Left Hand</v>
      </c>
    </row>
    <row r="23" spans="2:15" ht="16.5" hidden="1" customHeight="1">
      <c r="B23" s="61" cm="1">
        <f t="array" ref="B23">ROW()-ROW(TT[#Headers])</f>
        <v>21</v>
      </c>
      <c r="C23" s="61"/>
      <c r="D23" s="61"/>
      <c r="E23" s="61" t="s">
        <v>165</v>
      </c>
      <c r="F23" s="61" t="s">
        <v>166</v>
      </c>
      <c r="G23" s="61" t="s">
        <v>167</v>
      </c>
      <c r="H23" s="61" t="s">
        <v>168</v>
      </c>
      <c r="I23" s="61" t="s">
        <v>169</v>
      </c>
      <c r="J23" s="61" t="s">
        <v>170</v>
      </c>
      <c r="K23" s="61"/>
      <c r="L23" s="61"/>
      <c r="M23" s="61"/>
      <c r="N23" s="61"/>
      <c r="O23" s="61" t="str">
        <f>IF(INDEX(TT[[#This Row],[Language 1]:[Language 10]],1,LanguageSelect)="",TT[[#This Row],[Language 1]],INDEX(TT[[#This Row],[Language 1]:[Language 10]],1,LanguageSelect))</f>
        <v>Right Hand</v>
      </c>
    </row>
    <row r="24" spans="2:15" ht="16.5" hidden="1" customHeight="1">
      <c r="B24" s="61" cm="1">
        <f t="array" ref="B24">ROW()-ROW(TT[#Headers])</f>
        <v>22</v>
      </c>
      <c r="C24" s="61"/>
      <c r="D24" s="61"/>
      <c r="E24" s="61" t="s">
        <v>171</v>
      </c>
      <c r="F24" s="61" t="s">
        <v>172</v>
      </c>
      <c r="G24" s="61" t="s">
        <v>172</v>
      </c>
      <c r="H24" s="61" t="s">
        <v>171</v>
      </c>
      <c r="I24" s="61" t="s">
        <v>173</v>
      </c>
      <c r="J24" s="61" t="s">
        <v>174</v>
      </c>
      <c r="K24" s="61"/>
      <c r="L24" s="61"/>
      <c r="M24" s="61"/>
      <c r="N24" s="61"/>
      <c r="O24" s="61" t="str">
        <f>IF(INDEX(TT[[#This Row],[Language 1]:[Language 10]],1,LanguageSelect)="",TT[[#This Row],[Language 1]],INDEX(TT[[#This Row],[Language 1]:[Language 10]],1,LanguageSelect))</f>
        <v>Phalanx</v>
      </c>
    </row>
    <row r="25" spans="2:15" ht="16.5" hidden="1" customHeight="1">
      <c r="B25" s="61" cm="1">
        <f t="array" ref="B25">ROW()-ROW(TT[#Headers])</f>
        <v>23</v>
      </c>
      <c r="C25" s="61"/>
      <c r="D25" s="61"/>
      <c r="E25" s="61" t="s">
        <v>175</v>
      </c>
      <c r="F25" s="61" t="s">
        <v>176</v>
      </c>
      <c r="G25" s="61" t="s">
        <v>177</v>
      </c>
      <c r="H25" s="61" t="s">
        <v>175</v>
      </c>
      <c r="I25" s="61" t="s">
        <v>178</v>
      </c>
      <c r="J25" s="61" t="s">
        <v>179</v>
      </c>
      <c r="K25" s="61"/>
      <c r="L25" s="61"/>
      <c r="M25" s="61"/>
      <c r="N25" s="61"/>
      <c r="O25" s="61" t="str">
        <f>IF(INDEX(TT[[#This Row],[Language 1]:[Language 10]],1,LanguageSelect)="",TT[[#This Row],[Language 1]],INDEX(TT[[#This Row],[Language 1]:[Language 10]],1,LanguageSelect))</f>
        <v>Phalanx flexion</v>
      </c>
    </row>
    <row r="26" spans="2:15" ht="16.5" hidden="1" customHeight="1">
      <c r="B26" s="61" cm="1">
        <f t="array" ref="B26">ROW()-ROW(TT[#Headers])</f>
        <v>24</v>
      </c>
      <c r="C26" s="61"/>
      <c r="D26" s="61"/>
      <c r="E26" s="61" t="s">
        <v>180</v>
      </c>
      <c r="F26" s="61" t="s">
        <v>181</v>
      </c>
      <c r="G26" s="61" t="s">
        <v>182</v>
      </c>
      <c r="H26" s="61" t="s">
        <v>183</v>
      </c>
      <c r="I26" s="61" t="s">
        <v>184</v>
      </c>
      <c r="J26" s="61" t="s">
        <v>185</v>
      </c>
      <c r="K26" s="61"/>
      <c r="L26" s="61"/>
      <c r="M26" s="61"/>
      <c r="N26" s="61"/>
      <c r="O26" s="61" t="str">
        <f>IF(INDEX(TT[[#This Row],[Language 1]:[Language 10]],1,LanguageSelect)="",TT[[#This Row],[Language 1]],INDEX(TT[[#This Row],[Language 1]:[Language 10]],1,LanguageSelect))</f>
        <v>Thumb</v>
      </c>
    </row>
    <row r="27" spans="2:15" ht="16.5" hidden="1" customHeight="1">
      <c r="B27" s="61" cm="1">
        <f t="array" ref="B27">ROW()-ROW(TT[#Headers])</f>
        <v>25</v>
      </c>
      <c r="C27" s="61"/>
      <c r="D27" s="61"/>
      <c r="E27" s="61" t="s">
        <v>186</v>
      </c>
      <c r="F27" s="61" t="s">
        <v>187</v>
      </c>
      <c r="G27" s="61" t="s">
        <v>187</v>
      </c>
      <c r="H27" s="61" t="s">
        <v>188</v>
      </c>
      <c r="I27" s="61" t="s">
        <v>186</v>
      </c>
      <c r="J27" s="61" t="s">
        <v>189</v>
      </c>
      <c r="K27" s="61"/>
      <c r="L27" s="61"/>
      <c r="M27" s="61"/>
      <c r="N27" s="61"/>
      <c r="O27" s="61" t="str">
        <f>IF(INDEX(TT[[#This Row],[Language 1]:[Language 10]],1,LanguageSelect)="",TT[[#This Row],[Language 1]],INDEX(TT[[#This Row],[Language 1]:[Language 10]],1,LanguageSelect))</f>
        <v>Index</v>
      </c>
    </row>
    <row r="28" spans="2:15" ht="16.5" hidden="1" customHeight="1">
      <c r="B28" s="61" cm="1">
        <f t="array" ref="B28">ROW()-ROW(TT[#Headers])</f>
        <v>26</v>
      </c>
      <c r="C28" s="61"/>
      <c r="D28" s="61"/>
      <c r="E28" s="61" t="s">
        <v>190</v>
      </c>
      <c r="F28" s="61" t="s">
        <v>191</v>
      </c>
      <c r="G28" s="61" t="s">
        <v>192</v>
      </c>
      <c r="H28" s="61" t="s">
        <v>193</v>
      </c>
      <c r="I28" s="61" t="s">
        <v>194</v>
      </c>
      <c r="J28" s="61" t="s">
        <v>195</v>
      </c>
      <c r="K28" s="61"/>
      <c r="L28" s="61"/>
      <c r="M28" s="61"/>
      <c r="N28" s="61"/>
      <c r="O28" s="61" t="str">
        <f>IF(INDEX(TT[[#This Row],[Language 1]:[Language 10]],1,LanguageSelect)="",TT[[#This Row],[Language 1]],INDEX(TT[[#This Row],[Language 1]:[Language 10]],1,LanguageSelect))</f>
        <v>Middle</v>
      </c>
    </row>
    <row r="29" spans="2:15" ht="16.5" hidden="1" customHeight="1">
      <c r="B29" s="61" cm="1">
        <f t="array" ref="B29">ROW()-ROW(TT[#Headers])</f>
        <v>27</v>
      </c>
      <c r="C29" s="61"/>
      <c r="D29" s="61"/>
      <c r="E29" s="61" t="s">
        <v>196</v>
      </c>
      <c r="F29" s="61" t="s">
        <v>197</v>
      </c>
      <c r="G29" s="61" t="s">
        <v>198</v>
      </c>
      <c r="H29" s="61" t="s">
        <v>199</v>
      </c>
      <c r="I29" s="61" t="s">
        <v>200</v>
      </c>
      <c r="J29" s="61" t="s">
        <v>201</v>
      </c>
      <c r="K29" s="61"/>
      <c r="L29" s="61"/>
      <c r="M29" s="61"/>
      <c r="N29" s="61"/>
      <c r="O29" s="61" t="str">
        <f>IF(INDEX(TT[[#This Row],[Language 1]:[Language 10]],1,LanguageSelect)="",TT[[#This Row],[Language 1]],INDEX(TT[[#This Row],[Language 1]:[Language 10]],1,LanguageSelect))</f>
        <v>Ring</v>
      </c>
    </row>
    <row r="30" spans="2:15" ht="16.5" hidden="1" customHeight="1">
      <c r="B30" s="61" cm="1">
        <f t="array" ref="B30">ROW()-ROW(TT[#Headers])</f>
        <v>28</v>
      </c>
      <c r="C30" s="61"/>
      <c r="D30" s="61"/>
      <c r="E30" s="61" t="s">
        <v>202</v>
      </c>
      <c r="F30" s="61" t="s">
        <v>203</v>
      </c>
      <c r="G30" s="61" t="s">
        <v>204</v>
      </c>
      <c r="H30" s="61" t="s">
        <v>205</v>
      </c>
      <c r="I30" s="61" t="s">
        <v>206</v>
      </c>
      <c r="J30" s="61" t="s">
        <v>207</v>
      </c>
      <c r="K30" s="61"/>
      <c r="L30" s="61"/>
      <c r="M30" s="61"/>
      <c r="N30" s="61"/>
      <c r="O30" s="61" t="str">
        <f>IF(INDEX(TT[[#This Row],[Language 1]:[Language 10]],1,LanguageSelect)="",TT[[#This Row],[Language 1]],INDEX(TT[[#This Row],[Language 1]:[Language 10]],1,LanguageSelect))</f>
        <v>Pinky</v>
      </c>
    </row>
    <row r="31" spans="2:15" ht="16.5" hidden="1" customHeight="1">
      <c r="B31" s="61" cm="1">
        <f t="array" ref="B31">ROW()-ROW(TT[#Headers])</f>
        <v>29</v>
      </c>
      <c r="C31" s="61"/>
      <c r="D31" s="61"/>
      <c r="E31" s="61" t="s">
        <v>208</v>
      </c>
      <c r="F31" s="61" t="s">
        <v>209</v>
      </c>
      <c r="G31" s="61" t="s">
        <v>210</v>
      </c>
      <c r="H31" s="61" t="s">
        <v>211</v>
      </c>
      <c r="I31" s="61" t="s">
        <v>212</v>
      </c>
      <c r="J31" s="61" t="s">
        <v>213</v>
      </c>
      <c r="K31" s="61"/>
      <c r="L31" s="61"/>
      <c r="M31" s="61"/>
      <c r="N31" s="61"/>
      <c r="O31" s="61" t="str">
        <f>IF(INDEX(TT[[#This Row],[Language 1]:[Language 10]],1,LanguageSelect)="",TT[[#This Row],[Language 1]],INDEX(TT[[#This Row],[Language 1]:[Language 10]],1,LanguageSelect))</f>
        <v>Finger digit</v>
      </c>
    </row>
    <row r="32" spans="2:15" ht="16.5" hidden="1" customHeight="1">
      <c r="B32" s="61" cm="1">
        <f t="array" ref="B32">ROW()-ROW(TT[#Headers])</f>
        <v>30</v>
      </c>
      <c r="C32" s="61"/>
      <c r="D32" s="61"/>
      <c r="E32" s="61" t="s">
        <v>214</v>
      </c>
      <c r="F32" s="61" t="s">
        <v>215</v>
      </c>
      <c r="G32" s="61" t="s">
        <v>216</v>
      </c>
      <c r="H32" s="61" t="s">
        <v>217</v>
      </c>
      <c r="I32" s="61" t="s">
        <v>218</v>
      </c>
      <c r="J32" s="61" t="s">
        <v>219</v>
      </c>
      <c r="K32" s="61"/>
      <c r="L32" s="61"/>
      <c r="M32" s="61"/>
      <c r="N32" s="61"/>
      <c r="O32" s="61" t="str">
        <f>IF(INDEX(TT[[#This Row],[Language 1]:[Language 10]],1,LanguageSelect)="",TT[[#This Row],[Language 1]],INDEX(TT[[#This Row],[Language 1]:[Language 10]],1,LanguageSelect))</f>
        <v>100% = Full Flexion</v>
      </c>
    </row>
    <row r="33" spans="2:15" ht="16.5" hidden="1" customHeight="1">
      <c r="B33" s="61" cm="1">
        <f t="array" ref="B33">ROW()-ROW(TT[#Headers])</f>
        <v>31</v>
      </c>
      <c r="C33" s="61"/>
      <c r="D33" s="61"/>
      <c r="E33" s="61" t="s">
        <v>220</v>
      </c>
      <c r="F33" s="61" t="s">
        <v>221</v>
      </c>
      <c r="G33" s="61" t="s">
        <v>222</v>
      </c>
      <c r="H33" s="61" t="s">
        <v>223</v>
      </c>
      <c r="I33" s="61" t="s">
        <v>224</v>
      </c>
      <c r="J33" s="61" t="s">
        <v>225</v>
      </c>
      <c r="K33" s="61"/>
      <c r="L33" s="61"/>
      <c r="M33" s="61"/>
      <c r="N33" s="61"/>
      <c r="O33" s="61" t="str">
        <f>IF(INDEX(TT[[#This Row],[Language 1]:[Language 10]],1,LanguageSelect)="",TT[[#This Row],[Language 1]],INDEX(TT[[#This Row],[Language 1]:[Language 10]],1,LanguageSelect))</f>
        <v>0% = Full Extension</v>
      </c>
    </row>
    <row r="34" spans="2:15" ht="16.5" hidden="1" customHeight="1">
      <c r="B34" s="61" cm="1">
        <f t="array" ref="B34">ROW()-ROW(TT[#Headers])</f>
        <v>32</v>
      </c>
      <c r="C34" s="61"/>
      <c r="D34" s="61"/>
      <c r="E34" s="61" t="s">
        <v>226</v>
      </c>
      <c r="F34" s="61" t="s">
        <v>227</v>
      </c>
      <c r="G34" s="61" t="s">
        <v>228</v>
      </c>
      <c r="H34" s="61" t="s">
        <v>229</v>
      </c>
      <c r="I34" s="61" t="s">
        <v>230</v>
      </c>
      <c r="J34" s="61" t="s">
        <v>231</v>
      </c>
      <c r="K34" s="61"/>
      <c r="L34" s="61"/>
      <c r="M34" s="61"/>
      <c r="N34" s="61"/>
      <c r="O34" s="61" t="str">
        <f>IF(INDEX(TT[[#This Row],[Language 1]:[Language 10]],1,LanguageSelect)="",TT[[#This Row],[Language 1]],INDEX(TT[[#This Row],[Language 1]:[Language 10]],1,LanguageSelect))</f>
        <v>Distal Phalanges</v>
      </c>
    </row>
    <row r="35" spans="2:15" ht="16.5" hidden="1" customHeight="1">
      <c r="B35" s="61" cm="1">
        <f t="array" ref="B35">ROW()-ROW(TT[#Headers])</f>
        <v>33</v>
      </c>
      <c r="C35" s="61"/>
      <c r="D35" s="61"/>
      <c r="E35" s="61" t="s">
        <v>232</v>
      </c>
      <c r="F35" s="61" t="s">
        <v>233</v>
      </c>
      <c r="G35" s="61" t="s">
        <v>234</v>
      </c>
      <c r="H35" s="61" t="s">
        <v>235</v>
      </c>
      <c r="I35" s="61" t="s">
        <v>236</v>
      </c>
      <c r="J35" s="61" t="s">
        <v>237</v>
      </c>
      <c r="K35" s="61"/>
      <c r="L35" s="61"/>
      <c r="M35" s="61"/>
      <c r="N35" s="61"/>
      <c r="O35" s="61" t="str">
        <f>IF(INDEX(TT[[#This Row],[Language 1]:[Language 10]],1,LanguageSelect)="",TT[[#This Row],[Language 1]],INDEX(TT[[#This Row],[Language 1]:[Language 10]],1,LanguageSelect))</f>
        <v>Middle Phalanges</v>
      </c>
    </row>
    <row r="36" spans="2:15" ht="16.5" hidden="1" customHeight="1">
      <c r="B36" s="61" cm="1">
        <f t="array" ref="B36">ROW()-ROW(TT[#Headers])</f>
        <v>34</v>
      </c>
      <c r="C36" s="61"/>
      <c r="D36" s="61"/>
      <c r="E36" s="61" t="s">
        <v>238</v>
      </c>
      <c r="F36" s="61" t="s">
        <v>239</v>
      </c>
      <c r="G36" s="61" t="s">
        <v>240</v>
      </c>
      <c r="H36" s="61" t="s">
        <v>241</v>
      </c>
      <c r="I36" s="61" t="s">
        <v>242</v>
      </c>
      <c r="J36" s="61" t="s">
        <v>243</v>
      </c>
      <c r="K36" s="61"/>
      <c r="L36" s="61"/>
      <c r="M36" s="61"/>
      <c r="N36" s="61"/>
      <c r="O36" s="61" t="str">
        <f>IF(INDEX(TT[[#This Row],[Language 1]:[Language 10]],1,LanguageSelect)="",TT[[#This Row],[Language 1]],INDEX(TT[[#This Row],[Language 1]:[Language 10]],1,LanguageSelect))</f>
        <v>Proximal Phalanges</v>
      </c>
    </row>
    <row r="37" spans="2:15" ht="16.5" hidden="1" customHeight="1">
      <c r="B37" s="61" cm="1">
        <f t="array" ref="B37">ROW()-ROW(TT[#Headers])</f>
        <v>35</v>
      </c>
      <c r="C37" s="61"/>
      <c r="D37" s="61"/>
      <c r="E37" s="61" t="s">
        <v>244</v>
      </c>
      <c r="F37" s="61" t="s">
        <v>245</v>
      </c>
      <c r="G37" s="61" t="s">
        <v>246</v>
      </c>
      <c r="H37" s="61" t="s">
        <v>247</v>
      </c>
      <c r="I37" s="61" t="s">
        <v>248</v>
      </c>
      <c r="J37" s="61" t="s">
        <v>249</v>
      </c>
      <c r="K37" s="61"/>
      <c r="L37" s="61"/>
      <c r="M37" s="61"/>
      <c r="N37" s="61"/>
      <c r="O37" s="61" t="str">
        <f>IF(INDEX(TT[[#This Row],[Language 1]:[Language 10]],1,LanguageSelect)="",TT[[#This Row],[Language 1]],INDEX(TT[[#This Row],[Language 1]:[Language 10]],1,LanguageSelect))</f>
        <v>Metacarpals</v>
      </c>
    </row>
    <row r="38" spans="2:15" ht="16.5" hidden="1" customHeight="1">
      <c r="B38" s="61" cm="1">
        <f t="array" ref="B38">ROW()-ROW(TT[#Headers])</f>
        <v>36</v>
      </c>
      <c r="C38" s="61"/>
      <c r="D38" s="61"/>
      <c r="E38" s="61" t="s">
        <v>250</v>
      </c>
      <c r="F38" s="61" t="s">
        <v>251</v>
      </c>
      <c r="G38" s="61" t="s">
        <v>252</v>
      </c>
      <c r="H38" s="61" t="s">
        <v>253</v>
      </c>
      <c r="I38" s="61" t="s">
        <v>254</v>
      </c>
      <c r="J38" s="61" t="s">
        <v>255</v>
      </c>
      <c r="K38" s="61"/>
      <c r="L38" s="61"/>
      <c r="M38" s="61"/>
      <c r="N38" s="61"/>
      <c r="O38" s="61" t="str">
        <f>IF(INDEX(TT[[#This Row],[Language 1]:[Language 10]],1,LanguageSelect)="",TT[[#This Row],[Language 1]],INDEX(TT[[#This Row],[Language 1]:[Language 10]],1,LanguageSelect))</f>
        <v>You</v>
      </c>
    </row>
    <row r="39" spans="2:15" ht="16.5" hidden="1" customHeight="1">
      <c r="B39" s="61" cm="1">
        <f t="array" ref="B39">ROW()-ROW(TT[#Headers])</f>
        <v>37</v>
      </c>
      <c r="C39" s="61"/>
      <c r="D39" s="61"/>
      <c r="E39" s="61" t="s">
        <v>256</v>
      </c>
      <c r="F39" s="61" t="s">
        <v>256</v>
      </c>
      <c r="G39" s="61" t="s">
        <v>256</v>
      </c>
      <c r="H39" s="61" t="s">
        <v>256</v>
      </c>
      <c r="I39" s="61" t="s">
        <v>256</v>
      </c>
      <c r="J39" s="61" t="s">
        <v>256</v>
      </c>
      <c r="K39" s="61"/>
      <c r="L39" s="61"/>
      <c r="M39" s="61"/>
      <c r="N39" s="61"/>
      <c r="O39" s="61" t="str">
        <f>IF(INDEX(TT[[#This Row],[Language 1]:[Language 10]],1,LanguageSelect)="",TT[[#This Row],[Language 1]],INDEX(TT[[#This Row],[Language 1]:[Language 10]],1,LanguageSelect))</f>
        <v>Excel</v>
      </c>
    </row>
    <row r="40" spans="2:15" ht="16.5" hidden="1" customHeight="1">
      <c r="B40" s="61" cm="1">
        <f t="array" ref="B40">ROW()-ROW(TT[#Headers])</f>
        <v>38</v>
      </c>
      <c r="C40" s="61"/>
      <c r="D40" s="61"/>
      <c r="E40" s="61" t="s">
        <v>257</v>
      </c>
      <c r="F40" s="61" t="s">
        <v>258</v>
      </c>
      <c r="G40" s="61" t="s">
        <v>259</v>
      </c>
      <c r="H40" s="61" t="s">
        <v>260</v>
      </c>
      <c r="I40" s="61" t="s">
        <v>261</v>
      </c>
      <c r="J40" s="61" t="s">
        <v>262</v>
      </c>
      <c r="K40" s="61"/>
      <c r="L40" s="61"/>
      <c r="M40" s="61"/>
      <c r="N40" s="61"/>
      <c r="O40" s="61" t="str">
        <f>IF(INDEX(TT[[#This Row],[Language 1]:[Language 10]],1,LanguageSelect)="",TT[[#This Row],[Language 1]],INDEX(TT[[#This Row],[Language 1]:[Language 10]],1,LanguageSelect))</f>
        <v>You Win!</v>
      </c>
    </row>
    <row r="41" spans="2:15" ht="16.5" hidden="1" customHeight="1">
      <c r="B41" s="61" cm="1">
        <f t="array" ref="B41">ROW()-ROW(TT[#Headers])</f>
        <v>39</v>
      </c>
      <c r="C41" s="61"/>
      <c r="D41" s="61"/>
      <c r="E41" s="61" t="s">
        <v>263</v>
      </c>
      <c r="F41" s="61" t="s">
        <v>264</v>
      </c>
      <c r="G41" s="61" t="s">
        <v>265</v>
      </c>
      <c r="H41" s="61" t="s">
        <v>266</v>
      </c>
      <c r="I41" s="61" t="s">
        <v>267</v>
      </c>
      <c r="J41" s="61" t="s">
        <v>268</v>
      </c>
      <c r="K41" s="61"/>
      <c r="L41" s="61"/>
      <c r="M41" s="61"/>
      <c r="N41" s="61"/>
      <c r="O41" s="61" t="str">
        <f>IF(INDEX(TT[[#This Row],[Language 1]:[Language 10]],1,LanguageSelect)="",TT[[#This Row],[Language 1]],INDEX(TT[[#This Row],[Language 1]:[Language 10]],1,LanguageSelect))</f>
        <v>Excel Wins</v>
      </c>
    </row>
    <row r="42" spans="2:15" ht="16.5" hidden="1" customHeight="1">
      <c r="B42" s="61" cm="1">
        <f t="array" ref="B42">ROW()-ROW(TT[#Headers])</f>
        <v>40</v>
      </c>
      <c r="C42" s="61"/>
      <c r="D42" s="61"/>
      <c r="E42" s="61" t="s">
        <v>269</v>
      </c>
      <c r="F42" s="61" t="s">
        <v>270</v>
      </c>
      <c r="G42" s="61" t="s">
        <v>271</v>
      </c>
      <c r="H42" s="61" t="s">
        <v>272</v>
      </c>
      <c r="I42" s="61" t="s">
        <v>273</v>
      </c>
      <c r="J42" s="61" t="s">
        <v>274</v>
      </c>
      <c r="K42" s="61"/>
      <c r="L42" s="61"/>
      <c r="M42" s="61"/>
      <c r="N42" s="61"/>
      <c r="O42" s="61" t="str">
        <f>IF(INDEX(TT[[#This Row],[Language 1]:[Language 10]],1,LanguageSelect)="",TT[[#This Row],[Language 1]],INDEX(TT[[#This Row],[Language 1]:[Language 10]],1,LanguageSelect))</f>
        <v>Tie game!</v>
      </c>
    </row>
    <row r="43" spans="2:15" ht="16.5" hidden="1" customHeight="1">
      <c r="B43" s="61" cm="1">
        <f t="array" ref="B43">ROW()-ROW(TT[#Headers])</f>
        <v>41</v>
      </c>
      <c r="C43" s="61"/>
      <c r="D43" s="61"/>
      <c r="E43" s="61" t="s">
        <v>275</v>
      </c>
      <c r="F43" s="61" t="s">
        <v>276</v>
      </c>
      <c r="G43" s="61" t="s">
        <v>277</v>
      </c>
      <c r="H43" s="61" t="s">
        <v>278</v>
      </c>
      <c r="I43" s="61" t="s">
        <v>279</v>
      </c>
      <c r="J43" s="61" t="s">
        <v>280</v>
      </c>
      <c r="K43" s="61"/>
      <c r="L43" s="61"/>
      <c r="M43" s="61"/>
      <c r="N43" s="61"/>
      <c r="O43" s="61" t="str">
        <f>IF(INDEX(TT[[#This Row],[Language 1]:[Language 10]],1,LanguageSelect)="",TT[[#This Row],[Language 1]],INDEX(TT[[#This Row],[Language 1]:[Language 10]],1,LanguageSelect))</f>
        <v>READY!</v>
      </c>
    </row>
    <row r="44" spans="2:15" ht="16.5" hidden="1" customHeight="1">
      <c r="B44" s="61" cm="1">
        <f t="array" ref="B44">ROW()-ROW(TT[#Headers])</f>
        <v>42</v>
      </c>
      <c r="C44" s="61"/>
      <c r="D44" s="61"/>
      <c r="E44" s="61" t="s">
        <v>281</v>
      </c>
      <c r="F44" s="61" t="s">
        <v>282</v>
      </c>
      <c r="G44" s="61" t="s">
        <v>283</v>
      </c>
      <c r="H44" s="61" t="s">
        <v>284</v>
      </c>
      <c r="I44" s="61" t="s">
        <v>285</v>
      </c>
      <c r="J44" s="61" t="s">
        <v>286</v>
      </c>
      <c r="K44" s="61"/>
      <c r="L44" s="61"/>
      <c r="M44" s="61"/>
      <c r="N44" s="61"/>
      <c r="O44" s="61" t="str">
        <f>IF(INDEX(TT[[#This Row],[Language 1]:[Language 10]],1,LanguageSelect)="",TT[[#This Row],[Language 1]],INDEX(TT[[#This Row],[Language 1]:[Language 10]],1,LanguageSelect))</f>
        <v>SET!</v>
      </c>
    </row>
    <row r="45" spans="2:15" ht="16.5" hidden="1" customHeight="1">
      <c r="B45" s="61" cm="1">
        <f t="array" ref="B45">ROW()-ROW(TT[#Headers])</f>
        <v>43</v>
      </c>
      <c r="C45" s="61"/>
      <c r="D45" s="61"/>
      <c r="E45" s="61" t="s">
        <v>287</v>
      </c>
      <c r="F45" s="61" t="s">
        <v>288</v>
      </c>
      <c r="G45" s="61" t="s">
        <v>289</v>
      </c>
      <c r="H45" s="61" t="s">
        <v>290</v>
      </c>
      <c r="I45" s="61" t="s">
        <v>291</v>
      </c>
      <c r="J45" s="61" t="s">
        <v>292</v>
      </c>
      <c r="K45" s="61"/>
      <c r="L45" s="61"/>
      <c r="M45" s="61"/>
      <c r="N45" s="61"/>
      <c r="O45" s="61" t="str">
        <f>IF(INDEX(TT[[#This Row],[Language 1]:[Language 10]],1,LanguageSelect)="",TT[[#This Row],[Language 1]],INDEX(TT[[#This Row],[Language 1]:[Language 10]],1,LanguageSelect))</f>
        <v>GO!</v>
      </c>
    </row>
    <row r="46" spans="2:15" ht="16.5" hidden="1" customHeight="1">
      <c r="B46" s="61" cm="1">
        <f t="array" ref="B46">ROW()-ROW(TT[#Headers])</f>
        <v>44</v>
      </c>
      <c r="C46" s="61"/>
      <c r="D46" s="61"/>
      <c r="E46" s="61" t="s">
        <v>293</v>
      </c>
      <c r="F46" s="61" t="s">
        <v>294</v>
      </c>
      <c r="G46" s="61" t="s">
        <v>295</v>
      </c>
      <c r="H46" s="61" t="s">
        <v>296</v>
      </c>
      <c r="I46" s="61" t="s">
        <v>297</v>
      </c>
      <c r="J46" s="61" t="s">
        <v>298</v>
      </c>
      <c r="K46" s="61"/>
      <c r="L46" s="61"/>
      <c r="M46" s="61"/>
      <c r="N46" s="61"/>
      <c r="O46" s="61" t="str">
        <f>IF(INDEX(TT[[#This Row],[Language 1]:[Language 10]],1,LanguageSelect)="",TT[[#This Row],[Language 1]],INDEX(TT[[#This Row],[Language 1]:[Language 10]],1,LanguageSelect))</f>
        <v>ROUND</v>
      </c>
    </row>
    <row r="47" spans="2:15" ht="16.5" hidden="1" customHeight="1">
      <c r="B47" s="61" cm="1">
        <f t="array" ref="B47">ROW()-ROW(TT[#Headers])</f>
        <v>45</v>
      </c>
      <c r="C47" s="61"/>
      <c r="D47" s="61"/>
      <c r="E47" s="61" t="s">
        <v>299</v>
      </c>
      <c r="F47" s="61" t="s">
        <v>300</v>
      </c>
      <c r="G47" s="61" t="s">
        <v>301</v>
      </c>
      <c r="H47" s="61" t="s">
        <v>302</v>
      </c>
      <c r="I47" s="61" t="s">
        <v>303</v>
      </c>
      <c r="J47" s="61" t="s">
        <v>304</v>
      </c>
      <c r="K47" s="61"/>
      <c r="L47" s="61"/>
      <c r="M47" s="61"/>
      <c r="N47" s="61"/>
      <c r="O47" s="61" t="str">
        <f>IF(INDEX(TT[[#This Row],[Language 1]:[Language 10]],1,LanguageSelect)="",TT[[#This Row],[Language 1]],INDEX(TT[[#This Row],[Language 1]:[Language 10]],1,LanguageSelect))</f>
        <v>Start New Match </v>
      </c>
    </row>
    <row r="48" spans="2:15" ht="16.5" hidden="1" customHeight="1">
      <c r="B48" s="61" cm="1">
        <f t="array" ref="B48">ROW()-ROW(TT[#Headers])</f>
        <v>46</v>
      </c>
      <c r="C48" s="61"/>
      <c r="D48" s="61"/>
      <c r="E48" s="61" t="s">
        <v>305</v>
      </c>
      <c r="F48" s="61" t="s">
        <v>306</v>
      </c>
      <c r="G48" s="61" t="s">
        <v>307</v>
      </c>
      <c r="H48" s="61" t="s">
        <v>308</v>
      </c>
      <c r="I48" s="61" t="s">
        <v>309</v>
      </c>
      <c r="J48" s="61" t="s">
        <v>310</v>
      </c>
      <c r="K48" s="61"/>
      <c r="L48" s="61"/>
      <c r="M48" s="61"/>
      <c r="N48" s="61"/>
      <c r="O48" s="61" t="str">
        <f>IF(INDEX(TT[[#This Row],[Language 1]:[Language 10]],1,LanguageSelect)="",TT[[#This Row],[Language 1]],INDEX(TT[[#This Row],[Language 1]:[Language 10]],1,LanguageSelect))</f>
        <v>Match In Progress </v>
      </c>
    </row>
    <row r="49" spans="2:15" ht="16.5" hidden="1" customHeight="1">
      <c r="B49" s="61" cm="1">
        <f t="array" ref="B49">ROW()-ROW(TT[#Headers])</f>
        <v>47</v>
      </c>
      <c r="C49" s="61"/>
      <c r="D49" s="61"/>
      <c r="E49" s="61" t="s">
        <v>311</v>
      </c>
      <c r="F49" s="61" t="s">
        <v>312</v>
      </c>
      <c r="G49" s="61" t="s">
        <v>313</v>
      </c>
      <c r="H49" s="61" t="s">
        <v>314</v>
      </c>
      <c r="I49" s="61" t="s">
        <v>315</v>
      </c>
      <c r="J49" s="61" t="s">
        <v>316</v>
      </c>
      <c r="K49" s="61"/>
      <c r="L49" s="61"/>
      <c r="M49" s="61"/>
      <c r="N49" s="61"/>
      <c r="O49" s="61" t="str">
        <f>IF(INDEX(TT[[#This Row],[Language 1]:[Language 10]],1,LanguageSelect)="",TT[[#This Row],[Language 1]],INDEX(TT[[#This Row],[Language 1]:[Language 10]],1,LanguageSelect))</f>
        <v>Rock</v>
      </c>
    </row>
    <row r="50" spans="2:15" ht="16.5" hidden="1" customHeight="1">
      <c r="B50" s="61" cm="1">
        <f t="array" ref="B50">ROW()-ROW(TT[#Headers])</f>
        <v>48</v>
      </c>
      <c r="C50" s="61"/>
      <c r="D50" s="61"/>
      <c r="E50" s="61" t="s">
        <v>317</v>
      </c>
      <c r="F50" s="61" t="s">
        <v>318</v>
      </c>
      <c r="G50" s="61" t="s">
        <v>318</v>
      </c>
      <c r="H50" s="61" t="s">
        <v>319</v>
      </c>
      <c r="I50" s="61" t="s">
        <v>319</v>
      </c>
      <c r="J50" s="61" t="s">
        <v>320</v>
      </c>
      <c r="K50" s="61"/>
      <c r="L50" s="61"/>
      <c r="M50" s="61"/>
      <c r="N50" s="61"/>
      <c r="O50" s="61" t="str">
        <f>IF(INDEX(TT[[#This Row],[Language 1]:[Language 10]],1,LanguageSelect)="",TT[[#This Row],[Language 1]],INDEX(TT[[#This Row],[Language 1]:[Language 10]],1,LanguageSelect))</f>
        <v>Paper</v>
      </c>
    </row>
    <row r="51" spans="2:15" ht="16.5" hidden="1" customHeight="1">
      <c r="B51" s="61" cm="1">
        <f t="array" ref="B51">ROW()-ROW(TT[#Headers])</f>
        <v>49</v>
      </c>
      <c r="C51" s="61"/>
      <c r="D51" s="61"/>
      <c r="E51" s="61" t="s">
        <v>321</v>
      </c>
      <c r="F51" s="61" t="s">
        <v>322</v>
      </c>
      <c r="G51" s="61" t="s">
        <v>323</v>
      </c>
      <c r="H51" s="61" t="s">
        <v>324</v>
      </c>
      <c r="I51" s="61" t="s">
        <v>325</v>
      </c>
      <c r="J51" s="61" t="s">
        <v>326</v>
      </c>
      <c r="K51" s="61"/>
      <c r="L51" s="61"/>
      <c r="M51" s="61"/>
      <c r="N51" s="61"/>
      <c r="O51" s="61" t="str">
        <f>IF(INDEX(TT[[#This Row],[Language 1]:[Language 10]],1,LanguageSelect)="",TT[[#This Row],[Language 1]],INDEX(TT[[#This Row],[Language 1]:[Language 10]],1,LanguageSelect))</f>
        <v>Scissors</v>
      </c>
    </row>
    <row r="52" spans="2:15" ht="16.5" hidden="1" customHeight="1">
      <c r="B52" s="61" cm="1">
        <f t="array" ref="B52">ROW()-ROW(TT[#Headers])</f>
        <v>50</v>
      </c>
      <c r="C52" s="61"/>
      <c r="D52" s="61"/>
      <c r="E52" s="61" t="s">
        <v>327</v>
      </c>
      <c r="F52" s="61" t="s">
        <v>328</v>
      </c>
      <c r="G52" s="61" t="s">
        <v>329</v>
      </c>
      <c r="H52" s="61" t="s">
        <v>330</v>
      </c>
      <c r="I52" s="61" t="s">
        <v>331</v>
      </c>
      <c r="J52" s="61" t="s">
        <v>332</v>
      </c>
      <c r="K52" s="61"/>
      <c r="L52" s="61"/>
      <c r="M52" s="61"/>
      <c r="N52" s="61"/>
      <c r="O52" s="61" t="str">
        <f>IF(INDEX(TT[[#This Row],[Language 1]:[Language 10]],1,LanguageSelect)="",TT[[#This Row],[Language 1]],INDEX(TT[[#This Row],[Language 1]:[Language 10]],1,LanguageSelect))</f>
        <v>Win</v>
      </c>
    </row>
    <row r="53" spans="2:15" ht="16.5" hidden="1" customHeight="1">
      <c r="B53" s="61" cm="1">
        <f t="array" ref="B53">ROW()-ROW(TT[#Headers])</f>
        <v>51</v>
      </c>
      <c r="C53" s="61"/>
      <c r="D53" s="61"/>
      <c r="E53" s="61" t="s">
        <v>333</v>
      </c>
      <c r="F53" s="61" t="s">
        <v>334</v>
      </c>
      <c r="G53" s="61" t="s">
        <v>335</v>
      </c>
      <c r="H53" s="61" t="s">
        <v>336</v>
      </c>
      <c r="I53" s="61" t="s">
        <v>337</v>
      </c>
      <c r="J53" s="61" t="s">
        <v>338</v>
      </c>
      <c r="K53" s="61"/>
      <c r="L53" s="61"/>
      <c r="M53" s="61"/>
      <c r="N53" s="61"/>
      <c r="O53" s="61" t="str">
        <f>IF(INDEX(TT[[#This Row],[Language 1]:[Language 10]],1,LanguageSelect)="",TT[[#This Row],[Language 1]],INDEX(TT[[#This Row],[Language 1]:[Language 10]],1,LanguageSelect))</f>
        <v>Loss</v>
      </c>
    </row>
    <row r="54" spans="2:15" ht="16.5" hidden="1" customHeight="1">
      <c r="B54" s="61" cm="1">
        <f t="array" ref="B54">ROW()-ROW(TT[#Headers])</f>
        <v>52</v>
      </c>
      <c r="C54" s="61"/>
      <c r="D54" s="61"/>
      <c r="E54" s="61" t="s">
        <v>339</v>
      </c>
      <c r="F54" s="61" t="s">
        <v>340</v>
      </c>
      <c r="G54" s="61" t="s">
        <v>340</v>
      </c>
      <c r="H54" s="61" t="s">
        <v>341</v>
      </c>
      <c r="I54" s="61" t="s">
        <v>342</v>
      </c>
      <c r="J54" s="61" t="s">
        <v>343</v>
      </c>
      <c r="K54" s="61"/>
      <c r="L54" s="61"/>
      <c r="M54" s="61"/>
      <c r="N54" s="61"/>
      <c r="O54" s="61" t="str">
        <f>IF(INDEX(TT[[#This Row],[Language 1]:[Language 10]],1,LanguageSelect)="",TT[[#This Row],[Language 1]],INDEX(TT[[#This Row],[Language 1]:[Language 10]],1,LanguageSelect))</f>
        <v>Tie</v>
      </c>
    </row>
    <row r="55" spans="2:15" ht="16.5" hidden="1" customHeight="1">
      <c r="B55" s="61" cm="1">
        <f t="array" ref="B55">ROW()-ROW(TT[#Headers])</f>
        <v>53</v>
      </c>
      <c r="C55" s="61"/>
      <c r="D55" s="61"/>
      <c r="E55" s="61" t="s">
        <v>344</v>
      </c>
      <c r="F55" s="61" t="s">
        <v>345</v>
      </c>
      <c r="G55" s="61" t="s">
        <v>346</v>
      </c>
      <c r="H55" s="61" t="s">
        <v>344</v>
      </c>
      <c r="I55" s="61" t="s">
        <v>344</v>
      </c>
      <c r="J55" s="61" t="s">
        <v>347</v>
      </c>
      <c r="K55" s="61"/>
      <c r="L55" s="61"/>
      <c r="M55" s="61"/>
      <c r="N55" s="61"/>
      <c r="O55" s="61" t="str">
        <f>IF(INDEX(TT[[#This Row],[Language 1]:[Language 10]],1,LanguageSelect)="",TT[[#This Row],[Language 1]],INDEX(TT[[#This Row],[Language 1]:[Language 10]],1,LanguageSelect))</f>
        <v>Radius</v>
      </c>
    </row>
    <row r="56" spans="2:15" ht="16.5" hidden="1" customHeight="1">
      <c r="B56" s="61" cm="1">
        <f t="array" ref="B56">ROW()-ROW(TT[#Headers])</f>
        <v>54</v>
      </c>
      <c r="C56" s="61"/>
      <c r="D56" s="61"/>
      <c r="E56" s="61" t="s">
        <v>348</v>
      </c>
      <c r="F56" s="61" t="s">
        <v>348</v>
      </c>
      <c r="G56" s="61" t="s">
        <v>349</v>
      </c>
      <c r="H56" s="61" t="s">
        <v>350</v>
      </c>
      <c r="I56" s="61" t="s">
        <v>351</v>
      </c>
      <c r="J56" s="61" t="s">
        <v>352</v>
      </c>
      <c r="K56" s="61"/>
      <c r="L56" s="61"/>
      <c r="M56" s="61"/>
      <c r="N56" s="61"/>
      <c r="O56" s="61" t="str">
        <f>IF(INDEX(TT[[#This Row],[Language 1]:[Language 10]],1,LanguageSelect)="",TT[[#This Row],[Language 1]],INDEX(TT[[#This Row],[Language 1]:[Language 10]],1,LanguageSelect))</f>
        <v>Ulna</v>
      </c>
    </row>
    <row r="57" spans="2:15" ht="16.5" hidden="1" customHeight="1">
      <c r="B57" s="61" cm="1">
        <f t="array" ref="B57">ROW()-ROW(TT[#Headers])</f>
        <v>55</v>
      </c>
      <c r="C57" s="61"/>
      <c r="D57" s="61"/>
      <c r="E57" s="61" t="s">
        <v>353</v>
      </c>
      <c r="F57" s="61" t="s">
        <v>354</v>
      </c>
      <c r="G57" s="61" t="s">
        <v>355</v>
      </c>
      <c r="H57" s="61" t="s">
        <v>356</v>
      </c>
      <c r="I57" s="61" t="s">
        <v>357</v>
      </c>
      <c r="J57" s="61" t="s">
        <v>358</v>
      </c>
      <c r="K57" s="61"/>
      <c r="L57" s="61"/>
      <c r="M57" s="61"/>
      <c r="N57" s="61"/>
      <c r="O57" s="61" t="str">
        <f>IF(INDEX(TT[[#This Row],[Language 1]:[Language 10]],1,LanguageSelect)="",TT[[#This Row],[Language 1]],INDEX(TT[[#This Row],[Language 1]:[Language 10]],1,LanguageSelect))</f>
        <v>Carpals Proxy 1</v>
      </c>
    </row>
    <row r="58" spans="2:15" ht="16.5" hidden="1" customHeight="1">
      <c r="B58" s="61" cm="1">
        <f t="array" ref="B58">ROW()-ROW(TT[#Headers])</f>
        <v>56</v>
      </c>
      <c r="C58" s="61"/>
      <c r="D58" s="61"/>
      <c r="E58" s="61" t="s">
        <v>359</v>
      </c>
      <c r="F58" s="61" t="s">
        <v>360</v>
      </c>
      <c r="G58" s="61" t="s">
        <v>361</v>
      </c>
      <c r="H58" s="61" t="s">
        <v>362</v>
      </c>
      <c r="I58" s="61" t="s">
        <v>363</v>
      </c>
      <c r="J58" s="61" t="s">
        <v>364</v>
      </c>
      <c r="K58" s="61"/>
      <c r="L58" s="61"/>
      <c r="M58" s="61"/>
      <c r="N58" s="61"/>
      <c r="O58" s="61" t="str">
        <f>IF(INDEX(TT[[#This Row],[Language 1]:[Language 10]],1,LanguageSelect)="",TT[[#This Row],[Language 1]],INDEX(TT[[#This Row],[Language 1]:[Language 10]],1,LanguageSelect))</f>
        <v>Carpals Proxy 2</v>
      </c>
    </row>
    <row r="59" spans="2:15" ht="16.5" hidden="1" customHeight="1">
      <c r="B59" s="61" cm="1">
        <f t="array" ref="B59">ROW()-ROW(TT[#Headers])</f>
        <v>57</v>
      </c>
      <c r="C59" s="61"/>
      <c r="D59" s="61"/>
      <c r="E59" s="61" t="s">
        <v>365</v>
      </c>
      <c r="F59" s="61" t="s">
        <v>366</v>
      </c>
      <c r="G59" s="61" t="s">
        <v>367</v>
      </c>
      <c r="H59" s="61" t="s">
        <v>368</v>
      </c>
      <c r="I59" s="61" t="s">
        <v>369</v>
      </c>
      <c r="J59" s="61" t="s">
        <v>370</v>
      </c>
      <c r="K59" s="61"/>
      <c r="L59" s="61"/>
      <c r="M59" s="61"/>
      <c r="N59" s="61"/>
      <c r="O59" s="61" t="str">
        <f>IF(INDEX(TT[[#This Row],[Language 1]:[Language 10]],1,LanguageSelect)="",TT[[#This Row],[Language 1]],INDEX(TT[[#This Row],[Language 1]:[Language 10]],1,LanguageSelect))</f>
        <v>Carpals Proxy 3</v>
      </c>
    </row>
    <row r="60" spans="2:15" ht="16.5" hidden="1" customHeight="1">
      <c r="B60" s="61" cm="1">
        <f t="array" ref="B60">ROW()-ROW(TT[#Headers])</f>
        <v>58</v>
      </c>
      <c r="C60" s="61"/>
      <c r="D60" s="61"/>
      <c r="E60" s="61" t="s">
        <v>371</v>
      </c>
      <c r="F60" s="61" t="s">
        <v>372</v>
      </c>
      <c r="G60" s="61" t="s">
        <v>373</v>
      </c>
      <c r="H60" s="61" t="s">
        <v>374</v>
      </c>
      <c r="I60" s="61" t="s">
        <v>375</v>
      </c>
      <c r="J60" s="61" t="s">
        <v>376</v>
      </c>
      <c r="K60" s="61"/>
      <c r="L60" s="61"/>
      <c r="M60" s="61"/>
      <c r="N60" s="61"/>
      <c r="O60" s="61" t="str">
        <f>IF(INDEX(TT[[#This Row],[Language 1]:[Language 10]],1,LanguageSelect)="",TT[[#This Row],[Language 1]],INDEX(TT[[#This Row],[Language 1]:[Language 10]],1,LanguageSelect))</f>
        <v>Carpals Proxy 4</v>
      </c>
    </row>
    <row r="61" spans="2:15" ht="16.5" hidden="1" customHeight="1">
      <c r="B61" s="61" cm="1">
        <f t="array" ref="B61">ROW()-ROW(TT[#Headers])</f>
        <v>59</v>
      </c>
      <c r="C61" s="61"/>
      <c r="D61" s="61"/>
      <c r="E61" s="61" t="s">
        <v>377</v>
      </c>
      <c r="F61" s="61" t="s">
        <v>378</v>
      </c>
      <c r="G61" s="61" t="s">
        <v>379</v>
      </c>
      <c r="H61" s="61" t="s">
        <v>380</v>
      </c>
      <c r="I61" s="61" t="s">
        <v>381</v>
      </c>
      <c r="J61" s="61" t="s">
        <v>382</v>
      </c>
      <c r="K61" s="61"/>
      <c r="L61" s="61"/>
      <c r="M61" s="61"/>
      <c r="N61" s="61"/>
      <c r="O61" s="61" t="str">
        <f>IF(INDEX(TT[[#This Row],[Language 1]:[Language 10]],1,LanguageSelect)="",TT[[#This Row],[Language 1]],INDEX(TT[[#This Row],[Language 1]:[Language 10]],1,LanguageSelect))</f>
        <v>Carpals Proxy 5</v>
      </c>
    </row>
    <row r="62" spans="2:15" ht="16.5" hidden="1" customHeight="1">
      <c r="B62" s="61" cm="1">
        <f t="array" ref="B62">ROW()-ROW(TT[#Headers])</f>
        <v>60</v>
      </c>
      <c r="C62" s="61"/>
      <c r="D62" s="61"/>
      <c r="E62" s="61" t="s">
        <v>383</v>
      </c>
      <c r="F62" s="61" t="s">
        <v>384</v>
      </c>
      <c r="G62" s="61" t="s">
        <v>385</v>
      </c>
      <c r="H62" s="61" t="s">
        <v>386</v>
      </c>
      <c r="I62" s="61" t="s">
        <v>387</v>
      </c>
      <c r="J62" s="61" t="s">
        <v>388</v>
      </c>
      <c r="K62" s="61"/>
      <c r="L62" s="61"/>
      <c r="M62" s="61"/>
      <c r="N62" s="61"/>
      <c r="O62" s="61" t="str">
        <f>IF(INDEX(TT[[#This Row],[Language 1]:[Language 10]],1,LanguageSelect)="",TT[[#This Row],[Language 1]],INDEX(TT[[#This Row],[Language 1]:[Language 10]],1,LanguageSelect))</f>
        <v>Distal Phalanges (T)</v>
      </c>
    </row>
    <row r="63" spans="2:15" ht="16.5" hidden="1" customHeight="1">
      <c r="B63" s="61" cm="1">
        <f t="array" ref="B63">ROW()-ROW(TT[#Headers])</f>
        <v>61</v>
      </c>
      <c r="C63" s="61"/>
      <c r="D63" s="61"/>
      <c r="E63" s="61" t="s">
        <v>389</v>
      </c>
      <c r="F63" s="61" t="s">
        <v>390</v>
      </c>
      <c r="G63" s="61" t="s">
        <v>391</v>
      </c>
      <c r="H63" s="61" t="s">
        <v>392</v>
      </c>
      <c r="I63" s="61" t="s">
        <v>393</v>
      </c>
      <c r="J63" s="61" t="s">
        <v>388</v>
      </c>
      <c r="K63" s="61"/>
      <c r="L63" s="61"/>
      <c r="M63" s="61"/>
      <c r="N63" s="61"/>
      <c r="O63" s="61" t="str">
        <f>IF(INDEX(TT[[#This Row],[Language 1]:[Language 10]],1,LanguageSelect)="",TT[[#This Row],[Language 1]],INDEX(TT[[#This Row],[Language 1]:[Language 10]],1,LanguageSelect))</f>
        <v>Middle Phalanges (T)</v>
      </c>
    </row>
    <row r="64" spans="2:15" ht="16.5" hidden="1" customHeight="1">
      <c r="B64" s="61" cm="1">
        <f t="array" ref="B64">ROW()-ROW(TT[#Headers])</f>
        <v>62</v>
      </c>
      <c r="C64" s="61"/>
      <c r="D64" s="61"/>
      <c r="E64" s="61" t="s">
        <v>394</v>
      </c>
      <c r="F64" s="61" t="s">
        <v>395</v>
      </c>
      <c r="G64" s="61" t="s">
        <v>396</v>
      </c>
      <c r="H64" s="61" t="s">
        <v>397</v>
      </c>
      <c r="I64" s="61" t="s">
        <v>398</v>
      </c>
      <c r="J64" s="61" t="s">
        <v>388</v>
      </c>
      <c r="K64" s="61"/>
      <c r="L64" s="61"/>
      <c r="M64" s="61"/>
      <c r="N64" s="61"/>
      <c r="O64" s="61" t="str">
        <f>IF(INDEX(TT[[#This Row],[Language 1]:[Language 10]],1,LanguageSelect)="",TT[[#This Row],[Language 1]],INDEX(TT[[#This Row],[Language 1]:[Language 10]],1,LanguageSelect))</f>
        <v>Proximal Phalanges (T)</v>
      </c>
    </row>
    <row r="65" spans="2:15" ht="16.5" hidden="1" customHeight="1">
      <c r="B65" s="61" cm="1">
        <f t="array" ref="B65">ROW()-ROW(TT[#Headers])</f>
        <v>63</v>
      </c>
      <c r="C65" s="61"/>
      <c r="D65" s="61"/>
      <c r="E65" s="61" t="s">
        <v>399</v>
      </c>
      <c r="F65" s="61" t="s">
        <v>400</v>
      </c>
      <c r="G65" s="61" t="s">
        <v>401</v>
      </c>
      <c r="H65" s="61" t="s">
        <v>402</v>
      </c>
      <c r="I65" s="61" t="s">
        <v>403</v>
      </c>
      <c r="J65" s="61" t="s">
        <v>388</v>
      </c>
      <c r="K65" s="61"/>
      <c r="L65" s="61"/>
      <c r="M65" s="61"/>
      <c r="N65" s="61"/>
      <c r="O65" s="61" t="str">
        <f>IF(INDEX(TT[[#This Row],[Language 1]:[Language 10]],1,LanguageSelect)="",TT[[#This Row],[Language 1]],INDEX(TT[[#This Row],[Language 1]:[Language 10]],1,LanguageSelect))</f>
        <v>Metacarpals (T)</v>
      </c>
    </row>
    <row r="66" spans="2:15" ht="16.5" hidden="1" customHeight="1">
      <c r="B66" s="61" cm="1">
        <f t="array" ref="B66">ROW()-ROW(TT[#Headers])</f>
        <v>64</v>
      </c>
      <c r="C66" s="61"/>
      <c r="D66" s="61"/>
      <c r="E66" s="61" t="s">
        <v>404</v>
      </c>
      <c r="F66" s="61" t="s">
        <v>405</v>
      </c>
      <c r="G66" s="61" t="s">
        <v>406</v>
      </c>
      <c r="H66" s="61" t="s">
        <v>407</v>
      </c>
      <c r="I66" s="61" t="s">
        <v>408</v>
      </c>
      <c r="J66" s="61" t="s">
        <v>388</v>
      </c>
      <c r="K66" s="61"/>
      <c r="L66" s="61"/>
      <c r="M66" s="61"/>
      <c r="N66" s="61"/>
      <c r="O66" s="61" t="str">
        <f>IF(INDEX(TT[[#This Row],[Language 1]:[Language 10]],1,LanguageSelect)="",TT[[#This Row],[Language 1]],INDEX(TT[[#This Row],[Language 1]:[Language 10]],1,LanguageSelect))</f>
        <v>Distal Phalanges (I)</v>
      </c>
    </row>
    <row r="67" spans="2:15" ht="16.5" hidden="1" customHeight="1">
      <c r="B67" s="61" cm="1">
        <f t="array" ref="B67">ROW()-ROW(TT[#Headers])</f>
        <v>65</v>
      </c>
      <c r="C67" s="61"/>
      <c r="D67" s="61"/>
      <c r="E67" s="61" t="s">
        <v>409</v>
      </c>
      <c r="F67" s="61" t="s">
        <v>410</v>
      </c>
      <c r="G67" s="61" t="s">
        <v>411</v>
      </c>
      <c r="H67" s="61" t="s">
        <v>412</v>
      </c>
      <c r="I67" s="61" t="s">
        <v>413</v>
      </c>
      <c r="J67" s="61" t="s">
        <v>388</v>
      </c>
      <c r="K67" s="61"/>
      <c r="L67" s="61"/>
      <c r="M67" s="61"/>
      <c r="N67" s="61"/>
      <c r="O67" s="61" t="str">
        <f>IF(INDEX(TT[[#This Row],[Language 1]:[Language 10]],1,LanguageSelect)="",TT[[#This Row],[Language 1]],INDEX(TT[[#This Row],[Language 1]:[Language 10]],1,LanguageSelect))</f>
        <v>Middle Phalanges (I)</v>
      </c>
    </row>
    <row r="68" spans="2:15" ht="16.5" hidden="1" customHeight="1">
      <c r="B68" s="61" cm="1">
        <f t="array" ref="B68">ROW()-ROW(TT[#Headers])</f>
        <v>66</v>
      </c>
      <c r="C68" s="61"/>
      <c r="D68" s="61"/>
      <c r="E68" s="61" t="s">
        <v>414</v>
      </c>
      <c r="F68" s="61" t="s">
        <v>415</v>
      </c>
      <c r="G68" s="61" t="s">
        <v>416</v>
      </c>
      <c r="H68" s="61" t="s">
        <v>417</v>
      </c>
      <c r="I68" s="61" t="s">
        <v>418</v>
      </c>
      <c r="J68" s="61" t="s">
        <v>388</v>
      </c>
      <c r="K68" s="61"/>
      <c r="L68" s="61"/>
      <c r="M68" s="61"/>
      <c r="N68" s="61"/>
      <c r="O68" s="61" t="str">
        <f>IF(INDEX(TT[[#This Row],[Language 1]:[Language 10]],1,LanguageSelect)="",TT[[#This Row],[Language 1]],INDEX(TT[[#This Row],[Language 1]:[Language 10]],1,LanguageSelect))</f>
        <v>Proximal Phalanges (I)</v>
      </c>
    </row>
    <row r="69" spans="2:15" ht="16.5" hidden="1" customHeight="1">
      <c r="B69" s="61" cm="1">
        <f t="array" ref="B69">ROW()-ROW(TT[#Headers])</f>
        <v>67</v>
      </c>
      <c r="C69" s="61"/>
      <c r="D69" s="61"/>
      <c r="E69" s="61" t="s">
        <v>419</v>
      </c>
      <c r="F69" s="61" t="s">
        <v>420</v>
      </c>
      <c r="G69" s="61" t="s">
        <v>421</v>
      </c>
      <c r="H69" s="61" t="s">
        <v>422</v>
      </c>
      <c r="I69" s="61" t="s">
        <v>423</v>
      </c>
      <c r="J69" s="61" t="s">
        <v>388</v>
      </c>
      <c r="K69" s="61"/>
      <c r="L69" s="61"/>
      <c r="M69" s="61"/>
      <c r="N69" s="61"/>
      <c r="O69" s="61" t="str">
        <f>IF(INDEX(TT[[#This Row],[Language 1]:[Language 10]],1,LanguageSelect)="",TT[[#This Row],[Language 1]],INDEX(TT[[#This Row],[Language 1]:[Language 10]],1,LanguageSelect))</f>
        <v>Metacarpals (I)</v>
      </c>
    </row>
    <row r="70" spans="2:15" ht="16.5" hidden="1" customHeight="1">
      <c r="B70" s="61" cm="1">
        <f t="array" ref="B70">ROW()-ROW(TT[#Headers])</f>
        <v>68</v>
      </c>
      <c r="C70" s="61"/>
      <c r="D70" s="61"/>
      <c r="E70" s="61" t="s">
        <v>424</v>
      </c>
      <c r="F70" s="61" t="s">
        <v>425</v>
      </c>
      <c r="G70" s="61" t="s">
        <v>426</v>
      </c>
      <c r="H70" s="61" t="s">
        <v>427</v>
      </c>
      <c r="I70" s="61" t="s">
        <v>428</v>
      </c>
      <c r="J70" s="61" t="s">
        <v>388</v>
      </c>
      <c r="K70" s="61"/>
      <c r="L70" s="61"/>
      <c r="M70" s="61"/>
      <c r="N70" s="61"/>
      <c r="O70" s="61" t="str">
        <f>IF(INDEX(TT[[#This Row],[Language 1]:[Language 10]],1,LanguageSelect)="",TT[[#This Row],[Language 1]],INDEX(TT[[#This Row],[Language 1]:[Language 10]],1,LanguageSelect))</f>
        <v>Distal Phalanges (M)</v>
      </c>
    </row>
    <row r="71" spans="2:15" ht="16.5" hidden="1" customHeight="1">
      <c r="B71" s="61" cm="1">
        <f t="array" ref="B71">ROW()-ROW(TT[#Headers])</f>
        <v>69</v>
      </c>
      <c r="C71" s="61"/>
      <c r="D71" s="61"/>
      <c r="E71" s="61" t="s">
        <v>429</v>
      </c>
      <c r="F71" s="61" t="s">
        <v>430</v>
      </c>
      <c r="G71" s="61" t="s">
        <v>431</v>
      </c>
      <c r="H71" s="61" t="s">
        <v>432</v>
      </c>
      <c r="I71" s="61" t="s">
        <v>433</v>
      </c>
      <c r="J71" s="61" t="s">
        <v>388</v>
      </c>
      <c r="K71" s="61"/>
      <c r="L71" s="61"/>
      <c r="M71" s="61"/>
      <c r="N71" s="61"/>
      <c r="O71" s="61" t="str">
        <f>IF(INDEX(TT[[#This Row],[Language 1]:[Language 10]],1,LanguageSelect)="",TT[[#This Row],[Language 1]],INDEX(TT[[#This Row],[Language 1]:[Language 10]],1,LanguageSelect))</f>
        <v>Middle Phalanges (M)</v>
      </c>
    </row>
    <row r="72" spans="2:15" ht="16.5" hidden="1" customHeight="1">
      <c r="B72" s="61" cm="1">
        <f t="array" ref="B72">ROW()-ROW(TT[#Headers])</f>
        <v>70</v>
      </c>
      <c r="C72" s="61"/>
      <c r="D72" s="61"/>
      <c r="E72" s="61" t="s">
        <v>434</v>
      </c>
      <c r="F72" s="61" t="s">
        <v>435</v>
      </c>
      <c r="G72" s="61" t="s">
        <v>436</v>
      </c>
      <c r="H72" s="61" t="s">
        <v>437</v>
      </c>
      <c r="I72" s="61" t="s">
        <v>438</v>
      </c>
      <c r="J72" s="61" t="s">
        <v>388</v>
      </c>
      <c r="K72" s="61"/>
      <c r="L72" s="61"/>
      <c r="M72" s="61"/>
      <c r="N72" s="61"/>
      <c r="O72" s="61" t="str">
        <f>IF(INDEX(TT[[#This Row],[Language 1]:[Language 10]],1,LanguageSelect)="",TT[[#This Row],[Language 1]],INDEX(TT[[#This Row],[Language 1]:[Language 10]],1,LanguageSelect))</f>
        <v>Proximal Phalanges (M)</v>
      </c>
    </row>
    <row r="73" spans="2:15" ht="16.5" hidden="1" customHeight="1">
      <c r="B73" s="61" cm="1">
        <f t="array" ref="B73">ROW()-ROW(TT[#Headers])</f>
        <v>71</v>
      </c>
      <c r="C73" s="61"/>
      <c r="D73" s="61"/>
      <c r="E73" s="61" t="s">
        <v>439</v>
      </c>
      <c r="F73" s="61" t="s">
        <v>440</v>
      </c>
      <c r="G73" s="61" t="s">
        <v>441</v>
      </c>
      <c r="H73" s="61" t="s">
        <v>442</v>
      </c>
      <c r="I73" s="61" t="s">
        <v>443</v>
      </c>
      <c r="J73" s="61" t="s">
        <v>388</v>
      </c>
      <c r="K73" s="61"/>
      <c r="L73" s="61"/>
      <c r="M73" s="61"/>
      <c r="N73" s="61"/>
      <c r="O73" s="61" t="str">
        <f>IF(INDEX(TT[[#This Row],[Language 1]:[Language 10]],1,LanguageSelect)="",TT[[#This Row],[Language 1]],INDEX(TT[[#This Row],[Language 1]:[Language 10]],1,LanguageSelect))</f>
        <v>Metacarpals (M)</v>
      </c>
    </row>
    <row r="74" spans="2:15" ht="16.5" hidden="1" customHeight="1">
      <c r="B74" s="61" cm="1">
        <f t="array" ref="B74">ROW()-ROW(TT[#Headers])</f>
        <v>72</v>
      </c>
      <c r="C74" s="61"/>
      <c r="D74" s="61"/>
      <c r="E74" s="61" t="s">
        <v>444</v>
      </c>
      <c r="F74" s="61" t="s">
        <v>445</v>
      </c>
      <c r="G74" s="61" t="s">
        <v>446</v>
      </c>
      <c r="H74" s="61" t="s">
        <v>447</v>
      </c>
      <c r="I74" s="61" t="s">
        <v>448</v>
      </c>
      <c r="J74" s="61" t="s">
        <v>388</v>
      </c>
      <c r="K74" s="61"/>
      <c r="L74" s="61"/>
      <c r="M74" s="61"/>
      <c r="N74" s="61"/>
      <c r="O74" s="61" t="str">
        <f>IF(INDEX(TT[[#This Row],[Language 1]:[Language 10]],1,LanguageSelect)="",TT[[#This Row],[Language 1]],INDEX(TT[[#This Row],[Language 1]:[Language 10]],1,LanguageSelect))</f>
        <v>Distal Phalanges (R)</v>
      </c>
    </row>
    <row r="75" spans="2:15" ht="16.5" hidden="1" customHeight="1">
      <c r="B75" s="61" cm="1">
        <f t="array" ref="B75">ROW()-ROW(TT[#Headers])</f>
        <v>73</v>
      </c>
      <c r="C75" s="61"/>
      <c r="D75" s="61"/>
      <c r="E75" s="61" t="s">
        <v>449</v>
      </c>
      <c r="F75" s="61" t="s">
        <v>450</v>
      </c>
      <c r="G75" s="61" t="s">
        <v>451</v>
      </c>
      <c r="H75" s="61" t="s">
        <v>452</v>
      </c>
      <c r="I75" s="61" t="s">
        <v>453</v>
      </c>
      <c r="J75" s="61" t="s">
        <v>388</v>
      </c>
      <c r="K75" s="61"/>
      <c r="L75" s="61"/>
      <c r="M75" s="61"/>
      <c r="N75" s="61"/>
      <c r="O75" s="61" t="str">
        <f>IF(INDEX(TT[[#This Row],[Language 1]:[Language 10]],1,LanguageSelect)="",TT[[#This Row],[Language 1]],INDEX(TT[[#This Row],[Language 1]:[Language 10]],1,LanguageSelect))</f>
        <v>Middle Phalanges (R)</v>
      </c>
    </row>
    <row r="76" spans="2:15" ht="16.5" hidden="1" customHeight="1">
      <c r="B76" s="61" cm="1">
        <f t="array" ref="B76">ROW()-ROW(TT[#Headers])</f>
        <v>74</v>
      </c>
      <c r="C76" s="61"/>
      <c r="D76" s="61"/>
      <c r="E76" s="61" t="s">
        <v>454</v>
      </c>
      <c r="F76" s="61" t="s">
        <v>455</v>
      </c>
      <c r="G76" s="61" t="s">
        <v>456</v>
      </c>
      <c r="H76" s="61" t="s">
        <v>457</v>
      </c>
      <c r="I76" s="61" t="s">
        <v>458</v>
      </c>
      <c r="J76" s="61" t="s">
        <v>388</v>
      </c>
      <c r="K76" s="61"/>
      <c r="L76" s="61"/>
      <c r="M76" s="61"/>
      <c r="N76" s="61"/>
      <c r="O76" s="61" t="str">
        <f>IF(INDEX(TT[[#This Row],[Language 1]:[Language 10]],1,LanguageSelect)="",TT[[#This Row],[Language 1]],INDEX(TT[[#This Row],[Language 1]:[Language 10]],1,LanguageSelect))</f>
        <v>Proximal Phalanges (R)</v>
      </c>
    </row>
    <row r="77" spans="2:15" ht="16.5" hidden="1" customHeight="1">
      <c r="B77" s="61" cm="1">
        <f t="array" ref="B77">ROW()-ROW(TT[#Headers])</f>
        <v>75</v>
      </c>
      <c r="C77" s="61"/>
      <c r="D77" s="61"/>
      <c r="E77" s="61" t="s">
        <v>459</v>
      </c>
      <c r="F77" s="61" t="s">
        <v>460</v>
      </c>
      <c r="G77" s="61" t="s">
        <v>461</v>
      </c>
      <c r="H77" s="61" t="s">
        <v>462</v>
      </c>
      <c r="I77" s="61" t="s">
        <v>463</v>
      </c>
      <c r="J77" s="61" t="s">
        <v>388</v>
      </c>
      <c r="K77" s="61"/>
      <c r="L77" s="61"/>
      <c r="M77" s="61"/>
      <c r="N77" s="61"/>
      <c r="O77" s="61" t="str">
        <f>IF(INDEX(TT[[#This Row],[Language 1]:[Language 10]],1,LanguageSelect)="",TT[[#This Row],[Language 1]],INDEX(TT[[#This Row],[Language 1]:[Language 10]],1,LanguageSelect))</f>
        <v>Metacarpals (R)</v>
      </c>
    </row>
    <row r="78" spans="2:15" ht="16.5" hidden="1" customHeight="1">
      <c r="B78" s="61" cm="1">
        <f t="array" ref="B78">ROW()-ROW(TT[#Headers])</f>
        <v>76</v>
      </c>
      <c r="C78" s="61"/>
      <c r="D78" s="61"/>
      <c r="E78" s="61" t="s">
        <v>464</v>
      </c>
      <c r="F78" s="61" t="s">
        <v>465</v>
      </c>
      <c r="G78" s="61" t="s">
        <v>426</v>
      </c>
      <c r="H78" s="61" t="s">
        <v>466</v>
      </c>
      <c r="I78" s="61" t="s">
        <v>448</v>
      </c>
      <c r="J78" s="61" t="s">
        <v>388</v>
      </c>
      <c r="K78" s="61"/>
      <c r="L78" s="61"/>
      <c r="M78" s="61"/>
      <c r="N78" s="61"/>
      <c r="O78" s="61" t="str">
        <f>IF(INDEX(TT[[#This Row],[Language 1]:[Language 10]],1,LanguageSelect)="",TT[[#This Row],[Language 1]],INDEX(TT[[#This Row],[Language 1]:[Language 10]],1,LanguageSelect))</f>
        <v>Distal Phalanges (P)</v>
      </c>
    </row>
    <row r="79" spans="2:15" ht="16.5" hidden="1" customHeight="1">
      <c r="B79" s="61" cm="1">
        <f t="array" ref="B79">ROW()-ROW(TT[#Headers])</f>
        <v>77</v>
      </c>
      <c r="C79" s="61"/>
      <c r="D79" s="61"/>
      <c r="E79" s="61" t="s">
        <v>467</v>
      </c>
      <c r="F79" s="61" t="s">
        <v>468</v>
      </c>
      <c r="G79" s="61" t="s">
        <v>431</v>
      </c>
      <c r="H79" s="61" t="s">
        <v>469</v>
      </c>
      <c r="I79" s="61" t="s">
        <v>453</v>
      </c>
      <c r="J79" s="61" t="s">
        <v>388</v>
      </c>
      <c r="K79" s="61"/>
      <c r="L79" s="61"/>
      <c r="M79" s="61"/>
      <c r="N79" s="61"/>
      <c r="O79" s="61" t="str">
        <f>IF(INDEX(TT[[#This Row],[Language 1]:[Language 10]],1,LanguageSelect)="",TT[[#This Row],[Language 1]],INDEX(TT[[#This Row],[Language 1]:[Language 10]],1,LanguageSelect))</f>
        <v>Middle Phalanges (P)</v>
      </c>
    </row>
    <row r="80" spans="2:15" ht="16.5" hidden="1" customHeight="1">
      <c r="B80" s="61" cm="1">
        <f t="array" ref="B80">ROW()-ROW(TT[#Headers])</f>
        <v>78</v>
      </c>
      <c r="C80" s="61"/>
      <c r="D80" s="61"/>
      <c r="E80" s="61" t="s">
        <v>470</v>
      </c>
      <c r="F80" s="61" t="s">
        <v>471</v>
      </c>
      <c r="G80" s="61" t="s">
        <v>436</v>
      </c>
      <c r="H80" s="61" t="s">
        <v>472</v>
      </c>
      <c r="I80" s="61" t="s">
        <v>458</v>
      </c>
      <c r="J80" s="61" t="s">
        <v>388</v>
      </c>
      <c r="K80" s="61"/>
      <c r="L80" s="61"/>
      <c r="M80" s="61"/>
      <c r="N80" s="61"/>
      <c r="O80" s="61" t="str">
        <f>IF(INDEX(TT[[#This Row],[Language 1]:[Language 10]],1,LanguageSelect)="",TT[[#This Row],[Language 1]],INDEX(TT[[#This Row],[Language 1]:[Language 10]],1,LanguageSelect))</f>
        <v>Proximal Phalanges (P)</v>
      </c>
    </row>
    <row r="81" spans="2:15" ht="16.5" hidden="1" customHeight="1">
      <c r="B81" s="61" cm="1">
        <f t="array" ref="B81">ROW()-ROW(TT[#Headers])</f>
        <v>79</v>
      </c>
      <c r="C81" s="61"/>
      <c r="D81" s="61"/>
      <c r="E81" s="61" t="s">
        <v>473</v>
      </c>
      <c r="F81" s="61" t="s">
        <v>474</v>
      </c>
      <c r="G81" s="61" t="s">
        <v>441</v>
      </c>
      <c r="H81" s="61" t="s">
        <v>475</v>
      </c>
      <c r="I81" s="61" t="s">
        <v>463</v>
      </c>
      <c r="J81" s="61" t="s">
        <v>388</v>
      </c>
      <c r="K81" s="61"/>
      <c r="L81" s="61"/>
      <c r="M81" s="61"/>
      <c r="N81" s="61"/>
      <c r="O81" s="61" t="str">
        <f>IF(INDEX(TT[[#This Row],[Language 1]:[Language 10]],1,LanguageSelect)="",TT[[#This Row],[Language 1]],INDEX(TT[[#This Row],[Language 1]:[Language 10]],1,LanguageSelect))</f>
        <v>Metacarpals (P)</v>
      </c>
    </row>
    <row r="82" spans="2:15" ht="16.5" hidden="1" customHeight="1">
      <c r="B82" s="61" cm="1">
        <f t="array" ref="B82">ROW()-ROW(TT[#Headers])</f>
        <v>80</v>
      </c>
      <c r="C82" s="61"/>
      <c r="D82" s="61"/>
      <c r="E82" s="61" t="s">
        <v>476</v>
      </c>
      <c r="F82" s="61" t="s">
        <v>477</v>
      </c>
      <c r="G82" s="61" t="s">
        <v>478</v>
      </c>
      <c r="H82" s="61" t="s">
        <v>479</v>
      </c>
      <c r="I82" s="61" t="s">
        <v>480</v>
      </c>
      <c r="J82" s="61" t="s">
        <v>481</v>
      </c>
      <c r="K82" s="61"/>
      <c r="L82" s="61"/>
      <c r="M82" s="61"/>
      <c r="N82" s="61"/>
      <c r="O82" s="61" t="str">
        <f>IF(INDEX(TT[[#This Row],[Language 1]:[Language 10]],1,LanguageSelect)="",TT[[#This Row],[Language 1]],INDEX(TT[[#This Row],[Language 1]:[Language 10]],1,LanguageSelect))</f>
        <v>My 
stats:</v>
      </c>
    </row>
    <row r="83" spans="2:15" ht="16.5" hidden="1" customHeight="1">
      <c r="B83" s="61" cm="1">
        <f t="array" ref="B83">ROW()-ROW(TT[#Headers])</f>
        <v>81</v>
      </c>
      <c r="C83" s="61"/>
      <c r="D83" s="61"/>
      <c r="E83" s="61" t="s">
        <v>482</v>
      </c>
      <c r="F83" s="61" t="s">
        <v>483</v>
      </c>
      <c r="G83" s="61" t="s">
        <v>484</v>
      </c>
      <c r="H83" s="61" t="s">
        <v>485</v>
      </c>
      <c r="I83" s="61" t="s">
        <v>486</v>
      </c>
      <c r="J83" s="61" t="s">
        <v>487</v>
      </c>
      <c r="K83" s="61"/>
      <c r="L83" s="61"/>
      <c r="M83" s="61"/>
      <c r="N83" s="61"/>
      <c r="O83" s="61" t="str">
        <f>IF(INDEX(TT[[#This Row],[Language 1]:[Language 10]],1,LanguageSelect)="",TT[[#This Row],[Language 1]],INDEX(TT[[#This Row],[Language 1]:[Language 10]],1,LanguageSelect))</f>
        <v>Excel 
stats:</v>
      </c>
    </row>
    <row r="84" spans="2:15" ht="16.5" hidden="1" customHeight="1">
      <c r="B84" s="61" cm="1">
        <f t="array" ref="B84">ROW()-ROW(TT[#Headers])</f>
        <v>82</v>
      </c>
      <c r="C84" s="61"/>
      <c r="D84" s="61"/>
      <c r="E84" s="61" t="s">
        <v>488</v>
      </c>
      <c r="F84" s="61" t="s">
        <v>489</v>
      </c>
      <c r="G84" s="61" t="s">
        <v>490</v>
      </c>
      <c r="H84" s="61" t="s">
        <v>491</v>
      </c>
      <c r="I84" s="61" t="s">
        <v>492</v>
      </c>
      <c r="J84" s="61" t="s">
        <v>493</v>
      </c>
      <c r="K84" s="61"/>
      <c r="L84" s="61"/>
      <c r="M84" s="61"/>
      <c r="N84" s="61"/>
      <c r="O84" s="61" t="str">
        <f>IF(INDEX(TT[[#This Row],[Language 1]:[Language 10]],1,LanguageSelect)="",TT[[#This Row],[Language 1]],INDEX(TT[[#This Row],[Language 1]:[Language 10]],1,LanguageSelect))</f>
        <v>Workbook Mode</v>
      </c>
    </row>
    <row r="85" spans="2:15" ht="16.5" hidden="1" customHeight="1">
      <c r="B85" s="61" cm="1">
        <f t="array" ref="B85">ROW()-ROW(TT[#Headers])</f>
        <v>83</v>
      </c>
      <c r="C85" s="61"/>
      <c r="D85" s="61"/>
      <c r="E85" s="61" t="s">
        <v>494</v>
      </c>
      <c r="F85" s="61" t="s">
        <v>495</v>
      </c>
      <c r="G85" s="61" t="s">
        <v>496</v>
      </c>
      <c r="H85" s="61" t="s">
        <v>497</v>
      </c>
      <c r="I85" s="61" t="s">
        <v>498</v>
      </c>
      <c r="J85" s="61" t="s">
        <v>499</v>
      </c>
      <c r="K85" s="61"/>
      <c r="L85" s="61"/>
      <c r="M85" s="61"/>
      <c r="N85" s="61"/>
      <c r="O85" s="61" t="str">
        <f>IF(INDEX(TT[[#This Row],[Language 1]:[Language 10]],1,LanguageSelect)="",TT[[#This Row],[Language 1]],INDEX(TT[[#This Row],[Language 1]:[Language 10]],1,LanguageSelect))</f>
        <v>Match Start Trigger</v>
      </c>
    </row>
    <row r="86" spans="2:15" ht="16.5" hidden="1" customHeight="1">
      <c r="B86" s="61" cm="1">
        <f t="array" ref="B86">ROW()-ROW(TT[#Headers])</f>
        <v>84</v>
      </c>
      <c r="C86" s="61"/>
      <c r="D86" s="61"/>
      <c r="E86" s="61" t="s">
        <v>500</v>
      </c>
      <c r="F86" s="61" t="s">
        <v>501</v>
      </c>
      <c r="G86" s="61" t="s">
        <v>502</v>
      </c>
      <c r="H86" s="61" t="s">
        <v>503</v>
      </c>
      <c r="I86" s="61" t="s">
        <v>504</v>
      </c>
      <c r="J86" s="61" t="s">
        <v>505</v>
      </c>
      <c r="K86" s="61"/>
      <c r="L86" s="61"/>
      <c r="M86" s="61"/>
      <c r="N86" s="61"/>
      <c r="O86" s="61" t="str">
        <f>IF(INDEX(TT[[#This Row],[Language 1]:[Language 10]],1,LanguageSelect)="",TT[[#This Row],[Language 1]],INDEX(TT[[#This Row],[Language 1]:[Language 10]],1,LanguageSelect))</f>
        <v>Match Complete</v>
      </c>
    </row>
    <row r="87" spans="2:15" ht="16.5" hidden="1" customHeight="1">
      <c r="B87" s="61" cm="1">
        <f t="array" ref="B87">ROW()-ROW(TT[#Headers])</f>
        <v>85</v>
      </c>
      <c r="C87" s="61"/>
      <c r="D87" s="61"/>
      <c r="E87" s="61" t="s">
        <v>506</v>
      </c>
      <c r="F87" s="61" t="s">
        <v>507</v>
      </c>
      <c r="G87" s="61" t="s">
        <v>508</v>
      </c>
      <c r="H87" s="61" t="s">
        <v>509</v>
      </c>
      <c r="I87" s="61" t="s">
        <v>510</v>
      </c>
      <c r="J87" s="61" t="s">
        <v>511</v>
      </c>
      <c r="K87" s="61"/>
      <c r="L87" s="61"/>
      <c r="M87" s="61"/>
      <c r="N87" s="61"/>
      <c r="O87" s="61" t="str">
        <f>IF(INDEX(TT[[#This Row],[Language 1]:[Language 10]],1,LanguageSelect)="",TT[[#This Row],[Language 1]],INDEX(TT[[#This Row],[Language 1]:[Language 10]],1,LanguageSelect))</f>
        <v>Countdown Timer</v>
      </c>
    </row>
    <row r="88" spans="2:15" ht="16.5" hidden="1" customHeight="1">
      <c r="B88" s="61" cm="1">
        <f t="array" ref="B88">ROW()-ROW(TT[#Headers])</f>
        <v>86</v>
      </c>
      <c r="C88" s="61"/>
      <c r="D88" s="61"/>
      <c r="E88" s="61" t="s">
        <v>512</v>
      </c>
      <c r="F88" s="61" t="s">
        <v>513</v>
      </c>
      <c r="G88" s="61" t="s">
        <v>514</v>
      </c>
      <c r="H88" s="61" t="s">
        <v>515</v>
      </c>
      <c r="I88" s="61" t="s">
        <v>516</v>
      </c>
      <c r="J88" s="61" t="s">
        <v>517</v>
      </c>
      <c r="K88" s="61"/>
      <c r="L88" s="61"/>
      <c r="M88" s="61"/>
      <c r="N88" s="61"/>
      <c r="O88" s="61" t="str">
        <f>IF(INDEX(TT[[#This Row],[Language 1]:[Language 10]],1,LanguageSelect)="",TT[[#This Row],[Language 1]],INDEX(TT[[#This Row],[Language 1]:[Language 10]],1,LanguageSelect))</f>
        <v>Round Number</v>
      </c>
    </row>
    <row r="89" spans="2:15" ht="16.5" hidden="1" customHeight="1">
      <c r="B89" s="61" cm="1">
        <f t="array" ref="B89">ROW()-ROW(TT[#Headers])</f>
        <v>87</v>
      </c>
      <c r="C89" s="61"/>
      <c r="D89" s="61"/>
      <c r="E89" s="61" t="s">
        <v>518</v>
      </c>
      <c r="F89" s="61" t="s">
        <v>519</v>
      </c>
      <c r="G89" s="61" t="s">
        <v>520</v>
      </c>
      <c r="H89" s="61" t="s">
        <v>521</v>
      </c>
      <c r="I89" s="61" t="s">
        <v>522</v>
      </c>
      <c r="J89" s="61" t="s">
        <v>523</v>
      </c>
      <c r="K89" s="61"/>
      <c r="L89" s="61"/>
      <c r="M89" s="61"/>
      <c r="N89" s="61"/>
      <c r="O89" s="61" t="str">
        <f>IF(INDEX(TT[[#This Row],[Language 1]:[Language 10]],1,LanguageSelect)="",TT[[#This Row],[Language 1]],INDEX(TT[[#This Row],[Language 1]:[Language 10]],1,LanguageSelect))</f>
        <v>Player 1 Gesture</v>
      </c>
    </row>
    <row r="90" spans="2:15" ht="16.5" hidden="1" customHeight="1">
      <c r="B90" s="61" cm="1">
        <f t="array" ref="B90">ROW()-ROW(TT[#Headers])</f>
        <v>88</v>
      </c>
      <c r="C90" s="61"/>
      <c r="D90" s="61"/>
      <c r="E90" s="61" t="s">
        <v>524</v>
      </c>
      <c r="F90" s="61" t="s">
        <v>525</v>
      </c>
      <c r="G90" s="61" t="s">
        <v>526</v>
      </c>
      <c r="H90" s="61" t="s">
        <v>527</v>
      </c>
      <c r="I90" s="61" t="s">
        <v>528</v>
      </c>
      <c r="J90" s="61" t="s">
        <v>529</v>
      </c>
      <c r="K90" s="61"/>
      <c r="L90" s="61"/>
      <c r="M90" s="61"/>
      <c r="N90" s="61"/>
      <c r="O90" s="61" t="str">
        <f>IF(INDEX(TT[[#This Row],[Language 1]:[Language 10]],1,LanguageSelect)="",TT[[#This Row],[Language 1]],INDEX(TT[[#This Row],[Language 1]:[Language 10]],1,LanguageSelect))</f>
        <v>Player 2 Gesture</v>
      </c>
    </row>
    <row r="91" spans="2:15" ht="16.5" hidden="1" customHeight="1">
      <c r="B91" s="61" cm="1">
        <f t="array" ref="B91">ROW()-ROW(TT[#Headers])</f>
        <v>89</v>
      </c>
      <c r="C91" s="61"/>
      <c r="D91" s="61"/>
      <c r="E91" s="61" t="s">
        <v>530</v>
      </c>
      <c r="F91" s="61" t="s">
        <v>531</v>
      </c>
      <c r="G91" s="61" t="s">
        <v>532</v>
      </c>
      <c r="H91" s="61" t="s">
        <v>533</v>
      </c>
      <c r="I91" s="61" t="s">
        <v>534</v>
      </c>
      <c r="J91" s="61" t="s">
        <v>535</v>
      </c>
      <c r="K91" s="61"/>
      <c r="L91" s="61"/>
      <c r="M91" s="61"/>
      <c r="N91" s="61"/>
      <c r="O91" s="61" t="str">
        <f>IF(INDEX(TT[[#This Row],[Language 1]:[Language 10]],1,LanguageSelect)="",TT[[#This Row],[Language 1]],INDEX(TT[[#This Row],[Language 1]:[Language 10]],1,LanguageSelect))</f>
        <v>Player 1 - Round 1</v>
      </c>
    </row>
    <row r="92" spans="2:15" ht="16.5" hidden="1" customHeight="1">
      <c r="B92" s="61" cm="1">
        <f t="array" ref="B92">ROW()-ROW(TT[#Headers])</f>
        <v>90</v>
      </c>
      <c r="C92" s="61"/>
      <c r="D92" s="61"/>
      <c r="E92" s="61" t="s">
        <v>536</v>
      </c>
      <c r="F92" s="61" t="s">
        <v>537</v>
      </c>
      <c r="G92" s="61" t="s">
        <v>538</v>
      </c>
      <c r="H92" s="61" t="s">
        <v>539</v>
      </c>
      <c r="I92" s="61" t="s">
        <v>540</v>
      </c>
      <c r="J92" s="61" t="s">
        <v>541</v>
      </c>
      <c r="K92" s="61"/>
      <c r="L92" s="61"/>
      <c r="M92" s="61"/>
      <c r="N92" s="61"/>
      <c r="O92" s="61" t="str">
        <f>IF(INDEX(TT[[#This Row],[Language 1]:[Language 10]],1,LanguageSelect)="",TT[[#This Row],[Language 1]],INDEX(TT[[#This Row],[Language 1]:[Language 10]],1,LanguageSelect))</f>
        <v>Player 1 - Round 2</v>
      </c>
    </row>
    <row r="93" spans="2:15" ht="16.5" hidden="1" customHeight="1">
      <c r="B93" s="61" cm="1">
        <f t="array" ref="B93">ROW()-ROW(TT[#Headers])</f>
        <v>91</v>
      </c>
      <c r="C93" s="61"/>
      <c r="D93" s="61"/>
      <c r="E93" s="61" t="s">
        <v>542</v>
      </c>
      <c r="F93" s="61" t="s">
        <v>543</v>
      </c>
      <c r="G93" s="61" t="s">
        <v>544</v>
      </c>
      <c r="H93" s="61" t="s">
        <v>545</v>
      </c>
      <c r="I93" s="61" t="s">
        <v>546</v>
      </c>
      <c r="J93" s="61" t="s">
        <v>547</v>
      </c>
      <c r="K93" s="61"/>
      <c r="L93" s="61"/>
      <c r="M93" s="61"/>
      <c r="N93" s="61"/>
      <c r="O93" s="61" t="str">
        <f>IF(INDEX(TT[[#This Row],[Language 1]:[Language 10]],1,LanguageSelect)="",TT[[#This Row],[Language 1]],INDEX(TT[[#This Row],[Language 1]:[Language 10]],1,LanguageSelect))</f>
        <v>Player 1 - Round 3</v>
      </c>
    </row>
    <row r="94" spans="2:15" ht="16.5" hidden="1" customHeight="1">
      <c r="B94" s="61" cm="1">
        <f t="array" ref="B94">ROW()-ROW(TT[#Headers])</f>
        <v>92</v>
      </c>
      <c r="C94" s="61"/>
      <c r="D94" s="61"/>
      <c r="E94" s="61" t="s">
        <v>548</v>
      </c>
      <c r="F94" s="61" t="s">
        <v>549</v>
      </c>
      <c r="G94" s="61" t="s">
        <v>550</v>
      </c>
      <c r="H94" s="61" t="s">
        <v>551</v>
      </c>
      <c r="I94" s="61" t="s">
        <v>552</v>
      </c>
      <c r="J94" s="61" t="s">
        <v>553</v>
      </c>
      <c r="K94" s="61"/>
      <c r="L94" s="61"/>
      <c r="M94" s="61"/>
      <c r="N94" s="61"/>
      <c r="O94" s="61" t="str">
        <f>IF(INDEX(TT[[#This Row],[Language 1]:[Language 10]],1,LanguageSelect)="",TT[[#This Row],[Language 1]],INDEX(TT[[#This Row],[Language 1]:[Language 10]],1,LanguageSelect))</f>
        <v>Player 1 - Round 4</v>
      </c>
    </row>
    <row r="95" spans="2:15" ht="16.5" hidden="1" customHeight="1">
      <c r="B95" s="61" cm="1">
        <f t="array" ref="B95">ROW()-ROW(TT[#Headers])</f>
        <v>93</v>
      </c>
      <c r="C95" s="61"/>
      <c r="D95" s="61"/>
      <c r="E95" s="61" t="s">
        <v>554</v>
      </c>
      <c r="F95" s="61" t="s">
        <v>555</v>
      </c>
      <c r="G95" s="61" t="s">
        <v>556</v>
      </c>
      <c r="H95" s="61" t="s">
        <v>557</v>
      </c>
      <c r="I95" s="61" t="s">
        <v>558</v>
      </c>
      <c r="J95" s="61" t="s">
        <v>559</v>
      </c>
      <c r="K95" s="61"/>
      <c r="L95" s="61"/>
      <c r="M95" s="61"/>
      <c r="N95" s="61"/>
      <c r="O95" s="61" t="str">
        <f>IF(INDEX(TT[[#This Row],[Language 1]:[Language 10]],1,LanguageSelect)="",TT[[#This Row],[Language 1]],INDEX(TT[[#This Row],[Language 1]:[Language 10]],1,LanguageSelect))</f>
        <v>Player 1 - Round 5</v>
      </c>
    </row>
    <row r="96" spans="2:15" ht="16.5" hidden="1" customHeight="1">
      <c r="B96" s="61" cm="1">
        <f t="array" ref="B96">ROW()-ROW(TT[#Headers])</f>
        <v>94</v>
      </c>
      <c r="C96" s="61"/>
      <c r="D96" s="61"/>
      <c r="E96" s="61" t="s">
        <v>560</v>
      </c>
      <c r="F96" s="61" t="s">
        <v>561</v>
      </c>
      <c r="G96" s="61" t="s">
        <v>562</v>
      </c>
      <c r="H96" s="61" t="s">
        <v>563</v>
      </c>
      <c r="I96" s="61" t="s">
        <v>564</v>
      </c>
      <c r="J96" s="61" t="s">
        <v>565</v>
      </c>
      <c r="K96" s="61"/>
      <c r="L96" s="61"/>
      <c r="M96" s="61"/>
      <c r="N96" s="61"/>
      <c r="O96" s="61" t="str">
        <f>IF(INDEX(TT[[#This Row],[Language 1]:[Language 10]],1,LanguageSelect)="",TT[[#This Row],[Language 1]],INDEX(TT[[#This Row],[Language 1]:[Language 10]],1,LanguageSelect))</f>
        <v>Player 2 - Round 1</v>
      </c>
    </row>
    <row r="97" spans="2:15" ht="16.5" hidden="1" customHeight="1">
      <c r="B97" s="61" cm="1">
        <f t="array" ref="B97">ROW()-ROW(TT[#Headers])</f>
        <v>95</v>
      </c>
      <c r="C97" s="61"/>
      <c r="D97" s="61"/>
      <c r="E97" s="61" t="s">
        <v>566</v>
      </c>
      <c r="F97" s="61" t="s">
        <v>567</v>
      </c>
      <c r="G97" s="61" t="s">
        <v>568</v>
      </c>
      <c r="H97" s="61" t="s">
        <v>569</v>
      </c>
      <c r="I97" s="61" t="s">
        <v>540</v>
      </c>
      <c r="J97" s="61" t="s">
        <v>570</v>
      </c>
      <c r="K97" s="61"/>
      <c r="L97" s="61"/>
      <c r="M97" s="61"/>
      <c r="N97" s="61"/>
      <c r="O97" s="61" t="str">
        <f>IF(INDEX(TT[[#This Row],[Language 1]:[Language 10]],1,LanguageSelect)="",TT[[#This Row],[Language 1]],INDEX(TT[[#This Row],[Language 1]:[Language 10]],1,LanguageSelect))</f>
        <v>Player 2 - Round 2</v>
      </c>
    </row>
    <row r="98" spans="2:15" ht="16.5" hidden="1" customHeight="1">
      <c r="B98" s="61" cm="1">
        <f t="array" ref="B98">ROW()-ROW(TT[#Headers])</f>
        <v>96</v>
      </c>
      <c r="C98" s="61"/>
      <c r="D98" s="61"/>
      <c r="E98" s="61" t="s">
        <v>571</v>
      </c>
      <c r="F98" s="61" t="s">
        <v>572</v>
      </c>
      <c r="G98" s="61" t="s">
        <v>573</v>
      </c>
      <c r="H98" s="61" t="s">
        <v>574</v>
      </c>
      <c r="I98" s="61" t="s">
        <v>575</v>
      </c>
      <c r="J98" s="61" t="s">
        <v>576</v>
      </c>
      <c r="K98" s="61"/>
      <c r="L98" s="61"/>
      <c r="M98" s="61"/>
      <c r="N98" s="61"/>
      <c r="O98" s="61" t="str">
        <f>IF(INDEX(TT[[#This Row],[Language 1]:[Language 10]],1,LanguageSelect)="",TT[[#This Row],[Language 1]],INDEX(TT[[#This Row],[Language 1]:[Language 10]],1,LanguageSelect))</f>
        <v>Player 2 - Round 3</v>
      </c>
    </row>
    <row r="99" spans="2:15" ht="16.5" hidden="1" customHeight="1">
      <c r="B99" s="61" cm="1">
        <f t="array" ref="B99">ROW()-ROW(TT[#Headers])</f>
        <v>97</v>
      </c>
      <c r="C99" s="61"/>
      <c r="D99" s="61"/>
      <c r="E99" s="61" t="s">
        <v>577</v>
      </c>
      <c r="F99" s="61" t="s">
        <v>578</v>
      </c>
      <c r="G99" s="61" t="s">
        <v>579</v>
      </c>
      <c r="H99" s="61" t="s">
        <v>580</v>
      </c>
      <c r="I99" s="61" t="s">
        <v>581</v>
      </c>
      <c r="J99" s="61" t="s">
        <v>582</v>
      </c>
      <c r="K99" s="61"/>
      <c r="L99" s="61"/>
      <c r="M99" s="61"/>
      <c r="N99" s="61"/>
      <c r="O99" s="61" t="str">
        <f>IF(INDEX(TT[[#This Row],[Language 1]:[Language 10]],1,LanguageSelect)="",TT[[#This Row],[Language 1]],INDEX(TT[[#This Row],[Language 1]:[Language 10]],1,LanguageSelect))</f>
        <v>Player 2 - Round 4</v>
      </c>
    </row>
    <row r="100" spans="2:15" ht="16.5" hidden="1" customHeight="1">
      <c r="B100" s="61" cm="1">
        <f t="array" ref="B100">ROW()-ROW(TT[#Headers])</f>
        <v>98</v>
      </c>
      <c r="C100" s="61"/>
      <c r="D100" s="61"/>
      <c r="E100" s="61" t="s">
        <v>583</v>
      </c>
      <c r="F100" s="61" t="s">
        <v>584</v>
      </c>
      <c r="G100" s="61" t="s">
        <v>585</v>
      </c>
      <c r="H100" s="61" t="s">
        <v>586</v>
      </c>
      <c r="I100" s="61" t="s">
        <v>587</v>
      </c>
      <c r="J100" s="61" t="s">
        <v>588</v>
      </c>
      <c r="K100" s="61"/>
      <c r="L100" s="61"/>
      <c r="M100" s="61"/>
      <c r="N100" s="61"/>
      <c r="O100" s="61" t="str">
        <f>IF(INDEX(TT[[#This Row],[Language 1]:[Language 10]],1,LanguageSelect)="",TT[[#This Row],[Language 1]],INDEX(TT[[#This Row],[Language 1]:[Language 10]],1,LanguageSelect))</f>
        <v>Player 2 - Round 5</v>
      </c>
    </row>
    <row r="101" spans="2:15" ht="16.5" hidden="1" customHeight="1">
      <c r="B101" s="61" cm="1">
        <f t="array" ref="B101">ROW()-ROW(TT[#Headers])</f>
        <v>99</v>
      </c>
      <c r="C101" s="61"/>
      <c r="D101" s="61"/>
      <c r="E101" s="61" t="s">
        <v>589</v>
      </c>
      <c r="F101" s="61" t="s">
        <v>590</v>
      </c>
      <c r="G101" s="61" t="s">
        <v>591</v>
      </c>
      <c r="H101" s="61" t="s">
        <v>592</v>
      </c>
      <c r="I101" s="61" t="s">
        <v>593</v>
      </c>
      <c r="J101" s="61" t="s">
        <v>594</v>
      </c>
      <c r="K101" s="61"/>
      <c r="L101" s="61"/>
      <c r="M101" s="61"/>
      <c r="N101" s="61"/>
      <c r="O101" s="61" t="str">
        <f>IF(INDEX(TT[[#This Row],[Language 1]:[Language 10]],1,LanguageSelect)="",TT[[#This Row],[Language 1]],INDEX(TT[[#This Row],[Language 1]:[Language 10]],1,LanguageSelect))</f>
        <v>Rounds Per Match</v>
      </c>
    </row>
    <row r="102" spans="2:15" ht="16.5" hidden="1" customHeight="1">
      <c r="B102" s="61" cm="1">
        <f t="array" ref="B102">ROW()-ROW(TT[#Headers])</f>
        <v>100</v>
      </c>
      <c r="C102" s="61"/>
      <c r="D102" s="61"/>
      <c r="E102" s="61" t="s">
        <v>595</v>
      </c>
      <c r="F102" s="61" t="s">
        <v>596</v>
      </c>
      <c r="G102" s="61" t="s">
        <v>597</v>
      </c>
      <c r="H102" s="61" t="s">
        <v>598</v>
      </c>
      <c r="I102" s="61" t="s">
        <v>599</v>
      </c>
      <c r="J102" s="61" t="s">
        <v>600</v>
      </c>
      <c r="K102" s="61"/>
      <c r="L102" s="61"/>
      <c r="M102" s="61"/>
      <c r="N102" s="61"/>
      <c r="O102" s="61" t="str">
        <f>IF(INDEX(TT[[#This Row],[Language 1]:[Language 10]],1,LanguageSelect)="",TT[[#This Row],[Language 1]],INDEX(TT[[#This Row],[Language 1]:[Language 10]],1,LanguageSelect))</f>
        <v>Round Intermission (seconds)</v>
      </c>
    </row>
    <row r="103" spans="2:15" ht="16.5" hidden="1" customHeight="1">
      <c r="B103" s="61" cm="1">
        <f t="array" ref="B103">ROW()-ROW(TT[#Headers])</f>
        <v>101</v>
      </c>
      <c r="C103" s="61"/>
      <c r="D103" s="61"/>
      <c r="E103" s="61" t="s">
        <v>601</v>
      </c>
      <c r="F103" s="61" t="s">
        <v>602</v>
      </c>
      <c r="G103" s="61" t="s">
        <v>603</v>
      </c>
      <c r="H103" s="61" t="s">
        <v>604</v>
      </c>
      <c r="I103" s="61" t="s">
        <v>605</v>
      </c>
      <c r="J103" s="61" t="s">
        <v>606</v>
      </c>
      <c r="K103" s="61"/>
      <c r="L103" s="61"/>
      <c r="M103" s="61"/>
      <c r="N103" s="61"/>
      <c r="O103" s="61" t="str">
        <f>IF(INDEX(TT[[#This Row],[Language 1]:[Language 10]],1,LanguageSelect)="",TT[[#This Row],[Language 1]],INDEX(TT[[#This Row],[Language 1]:[Language 10]],1,LanguageSelect))</f>
        <v>Match Trigger</v>
      </c>
    </row>
    <row r="104" spans="2:15" ht="16.5" hidden="1" customHeight="1">
      <c r="B104" s="61" cm="1">
        <f t="array" ref="B104">ROW()-ROW(TT[#Headers])</f>
        <v>102</v>
      </c>
      <c r="C104" s="61"/>
      <c r="D104" s="61"/>
      <c r="E104" s="61" t="s">
        <v>607</v>
      </c>
      <c r="F104" s="61" t="s">
        <v>608</v>
      </c>
      <c r="G104" s="61" t="s">
        <v>609</v>
      </c>
      <c r="H104" s="61" t="s">
        <v>610</v>
      </c>
      <c r="I104" s="61" t="s">
        <v>611</v>
      </c>
      <c r="J104" s="61" t="s">
        <v>612</v>
      </c>
      <c r="K104" s="61"/>
      <c r="L104" s="61"/>
      <c r="M104" s="61"/>
      <c r="N104" s="61"/>
      <c r="O104" s="61" t="str">
        <f>IF(INDEX(TT[[#This Row],[Language 1]:[Language 10]],1,LanguageSelect)="",TT[[#This Row],[Language 1]],INDEX(TT[[#This Row],[Language 1]:[Language 10]],1,LanguageSelect))</f>
        <v>Round Winner</v>
      </c>
    </row>
    <row r="105" spans="2:15" ht="16.5" hidden="1" customHeight="1">
      <c r="B105" s="61" cm="1">
        <f t="array" ref="B105">ROW()-ROW(TT[#Headers])</f>
        <v>103</v>
      </c>
      <c r="C105" s="61"/>
      <c r="D105" s="61"/>
      <c r="E105" s="61" t="s">
        <v>613</v>
      </c>
      <c r="F105" s="61" t="s">
        <v>614</v>
      </c>
      <c r="G105" s="61" t="s">
        <v>615</v>
      </c>
      <c r="H105" s="61" t="s">
        <v>616</v>
      </c>
      <c r="I105" s="61" t="s">
        <v>617</v>
      </c>
      <c r="J105" s="61" t="s">
        <v>618</v>
      </c>
      <c r="K105" s="61"/>
      <c r="L105" s="61"/>
      <c r="M105" s="61"/>
      <c r="N105" s="61"/>
      <c r="O105" s="61" t="str">
        <f>IF(INDEX(TT[[#This Row],[Language 1]:[Language 10]],1,LanguageSelect)="",TT[[#This Row],[Language 1]],INDEX(TT[[#This Row],[Language 1]:[Language 10]],1,LanguageSelect))</f>
        <v>Excel RPS Gesture</v>
      </c>
    </row>
    <row r="106" spans="2:15" ht="16.5" hidden="1" customHeight="1">
      <c r="B106" s="61" cm="1">
        <f t="array" ref="B106">ROW()-ROW(TT[#Headers])</f>
        <v>104</v>
      </c>
      <c r="C106" s="61"/>
      <c r="D106" s="61"/>
      <c r="E106" s="61" t="s">
        <v>619</v>
      </c>
      <c r="F106" s="61" t="s">
        <v>620</v>
      </c>
      <c r="G106" s="61" t="s">
        <v>621</v>
      </c>
      <c r="H106" s="61" t="s">
        <v>622</v>
      </c>
      <c r="I106" s="61" t="s">
        <v>623</v>
      </c>
      <c r="J106" s="61" t="s">
        <v>624</v>
      </c>
      <c r="K106" s="61"/>
      <c r="L106" s="61"/>
      <c r="M106" s="61"/>
      <c r="N106" s="61"/>
      <c r="O106" s="61" t="str">
        <f>IF(INDEX(TT[[#This Row],[Language 1]:[Language 10]],1,LanguageSelect)="",TT[[#This Row],[Language 1]],INDEX(TT[[#This Row],[Language 1]:[Language 10]],1,LanguageSelect))</f>
        <v>Save Match </v>
      </c>
    </row>
    <row r="107" spans="2:15" ht="16.5" hidden="1" customHeight="1">
      <c r="B107" s="61" cm="1">
        <f t="array" ref="B107">ROW()-ROW(TT[#Headers])</f>
        <v>105</v>
      </c>
      <c r="C107" s="61"/>
      <c r="D107" s="61"/>
      <c r="E107" s="61" t="s">
        <v>625</v>
      </c>
      <c r="F107" s="61" t="s">
        <v>626</v>
      </c>
      <c r="G107" s="61" t="s">
        <v>627</v>
      </c>
      <c r="H107" s="61" t="s">
        <v>628</v>
      </c>
      <c r="I107" s="61" t="s">
        <v>625</v>
      </c>
      <c r="J107" s="61" t="s">
        <v>629</v>
      </c>
      <c r="K107" s="61"/>
      <c r="L107" s="61"/>
      <c r="M107" s="61"/>
      <c r="N107" s="61"/>
      <c r="O107" s="61" t="str">
        <f>IF(INDEX(TT[[#This Row],[Language 1]:[Language 10]],1,LanguageSelect)="",TT[[#This Row],[Language 1]],INDEX(TT[[#This Row],[Language 1]:[Language 10]],1,LanguageSelect))</f>
        <v>Date</v>
      </c>
    </row>
    <row r="108" spans="2:15" ht="16.5" hidden="1" customHeight="1">
      <c r="B108" s="61" cm="1">
        <f t="array" ref="B108">ROW()-ROW(TT[#Headers])</f>
        <v>106</v>
      </c>
      <c r="C108" s="61"/>
      <c r="D108" s="61"/>
      <c r="E108" s="61" t="s">
        <v>40</v>
      </c>
      <c r="F108" s="61" t="s">
        <v>41</v>
      </c>
      <c r="G108" s="61" t="s">
        <v>42</v>
      </c>
      <c r="H108" s="61" t="s">
        <v>43</v>
      </c>
      <c r="I108" s="61" t="s">
        <v>44</v>
      </c>
      <c r="J108" s="61" t="s">
        <v>45</v>
      </c>
      <c r="K108" s="61"/>
      <c r="L108" s="61"/>
      <c r="M108" s="61"/>
      <c r="N108" s="61"/>
      <c r="O108" s="61" t="str">
        <f>IF(INDEX(TT[[#This Row],[Language 1]:[Language 10]],1,LanguageSelect)="",TT[[#This Row],[Language 1]],INDEX(TT[[#This Row],[Language 1]:[Language 10]],1,LanguageSelect))</f>
        <v>Time</v>
      </c>
    </row>
    <row r="109" spans="2:15" ht="16.5" hidden="1" customHeight="1">
      <c r="B109" s="61" cm="1">
        <f t="array" ref="B109">ROW()-ROW(TT[#Headers])</f>
        <v>107</v>
      </c>
      <c r="C109" s="61"/>
      <c r="D109" s="61"/>
      <c r="E109" s="61" t="s">
        <v>630</v>
      </c>
      <c r="F109" s="61" t="s">
        <v>631</v>
      </c>
      <c r="G109" s="61" t="s">
        <v>632</v>
      </c>
      <c r="H109" s="61" t="s">
        <v>633</v>
      </c>
      <c r="I109" s="61" t="s">
        <v>634</v>
      </c>
      <c r="J109" s="61" t="s">
        <v>635</v>
      </c>
      <c r="K109" s="61"/>
      <c r="L109" s="61"/>
      <c r="M109" s="61"/>
      <c r="N109" s="61"/>
      <c r="O109" s="61" t="str">
        <f>IF(INDEX(TT[[#This Row],[Language 1]:[Language 10]],1,LanguageSelect)="",TT[[#This Row],[Language 1]],INDEX(TT[[#This Row],[Language 1]:[Language 10]],1,LanguageSelect))</f>
        <v>Match Winner</v>
      </c>
    </row>
    <row r="110" spans="2:15" ht="16.5" hidden="1" customHeight="1">
      <c r="B110" s="61" cm="1">
        <f t="array" ref="B110">ROW()-ROW(TT[#Headers])</f>
        <v>108</v>
      </c>
      <c r="C110" s="61"/>
      <c r="D110" s="61"/>
      <c r="E110" s="61" t="s">
        <v>636</v>
      </c>
      <c r="F110" s="61" t="s">
        <v>637</v>
      </c>
      <c r="G110" s="61" t="s">
        <v>638</v>
      </c>
      <c r="H110" s="61" t="s">
        <v>639</v>
      </c>
      <c r="I110" s="61" t="s">
        <v>640</v>
      </c>
      <c r="J110" s="61" t="s">
        <v>641</v>
      </c>
      <c r="K110" s="61"/>
      <c r="L110" s="61"/>
      <c r="M110" s="61"/>
      <c r="N110" s="61"/>
      <c r="O110" s="61" t="str">
        <f>IF(INDEX(TT[[#This Row],[Language 1]:[Language 10]],1,LanguageSelect)="",TT[[#This Row],[Language 1]],INDEX(TT[[#This Row],[Language 1]:[Language 10]],1,LanguageSelect))</f>
        <v>Player - Rock</v>
      </c>
    </row>
    <row r="111" spans="2:15" ht="16.5" hidden="1" customHeight="1">
      <c r="B111" s="61" cm="1">
        <f t="array" ref="B111">ROW()-ROW(TT[#Headers])</f>
        <v>109</v>
      </c>
      <c r="C111" s="61"/>
      <c r="D111" s="61"/>
      <c r="E111" s="61" t="s">
        <v>642</v>
      </c>
      <c r="F111" s="61" t="s">
        <v>643</v>
      </c>
      <c r="G111" s="61" t="s">
        <v>644</v>
      </c>
      <c r="H111" s="61" t="s">
        <v>645</v>
      </c>
      <c r="I111" s="61" t="s">
        <v>646</v>
      </c>
      <c r="J111" s="61" t="s">
        <v>647</v>
      </c>
      <c r="K111" s="61"/>
      <c r="L111" s="61"/>
      <c r="M111" s="61"/>
      <c r="N111" s="61"/>
      <c r="O111" s="61" t="str">
        <f>IF(INDEX(TT[[#This Row],[Language 1]:[Language 10]],1,LanguageSelect)="",TT[[#This Row],[Language 1]],INDEX(TT[[#This Row],[Language 1]:[Language 10]],1,LanguageSelect))</f>
        <v>Player - Paper</v>
      </c>
    </row>
    <row r="112" spans="2:15" ht="16.5" hidden="1" customHeight="1">
      <c r="B112" s="61" cm="1">
        <f t="array" ref="B112">ROW()-ROW(TT[#Headers])</f>
        <v>110</v>
      </c>
      <c r="C112" s="61"/>
      <c r="D112" s="61"/>
      <c r="E112" s="61" t="s">
        <v>648</v>
      </c>
      <c r="F112" s="61" t="s">
        <v>649</v>
      </c>
      <c r="G112" s="61" t="s">
        <v>650</v>
      </c>
      <c r="H112" s="61" t="s">
        <v>651</v>
      </c>
      <c r="I112" s="61" t="s">
        <v>652</v>
      </c>
      <c r="J112" s="61" t="s">
        <v>653</v>
      </c>
      <c r="K112" s="61"/>
      <c r="L112" s="61"/>
      <c r="M112" s="61"/>
      <c r="N112" s="61"/>
      <c r="O112" s="61" t="str">
        <f>IF(INDEX(TT[[#This Row],[Language 1]:[Language 10]],1,LanguageSelect)="",TT[[#This Row],[Language 1]],INDEX(TT[[#This Row],[Language 1]:[Language 10]],1,LanguageSelect))</f>
        <v>Player - Scissors</v>
      </c>
    </row>
    <row r="113" spans="2:15" ht="16.5" hidden="1" customHeight="1">
      <c r="B113" s="61" cm="1">
        <f t="array" ref="B113">ROW()-ROW(TT[#Headers])</f>
        <v>111</v>
      </c>
      <c r="C113" s="61"/>
      <c r="D113" s="61"/>
      <c r="E113" s="61" t="s">
        <v>654</v>
      </c>
      <c r="F113" s="61" t="s">
        <v>655</v>
      </c>
      <c r="G113" s="61" t="s">
        <v>656</v>
      </c>
      <c r="H113" s="61" t="s">
        <v>657</v>
      </c>
      <c r="I113" s="61" t="s">
        <v>658</v>
      </c>
      <c r="J113" s="61" t="s">
        <v>659</v>
      </c>
      <c r="K113" s="61"/>
      <c r="L113" s="61"/>
      <c r="M113" s="61"/>
      <c r="N113" s="61"/>
      <c r="O113" s="61" t="str">
        <f>IF(INDEX(TT[[#This Row],[Language 1]:[Language 10]],1,LanguageSelect)="",TT[[#This Row],[Language 1]],INDEX(TT[[#This Row],[Language 1]:[Language 10]],1,LanguageSelect))</f>
        <v>Excel - Rock</v>
      </c>
    </row>
    <row r="114" spans="2:15" ht="16.5" hidden="1" customHeight="1">
      <c r="B114" s="61" cm="1">
        <f t="array" ref="B114">ROW()-ROW(TT[#Headers])</f>
        <v>112</v>
      </c>
      <c r="C114" s="61"/>
      <c r="D114" s="61"/>
      <c r="E114" s="61" t="s">
        <v>660</v>
      </c>
      <c r="F114" s="61" t="s">
        <v>661</v>
      </c>
      <c r="G114" s="61" t="s">
        <v>661</v>
      </c>
      <c r="H114" s="61" t="s">
        <v>662</v>
      </c>
      <c r="I114" s="61" t="s">
        <v>662</v>
      </c>
      <c r="J114" s="61" t="s">
        <v>663</v>
      </c>
      <c r="K114" s="61"/>
      <c r="L114" s="61"/>
      <c r="M114" s="61"/>
      <c r="N114" s="61"/>
      <c r="O114" s="61" t="str">
        <f>IF(INDEX(TT[[#This Row],[Language 1]:[Language 10]],1,LanguageSelect)="",TT[[#This Row],[Language 1]],INDEX(TT[[#This Row],[Language 1]:[Language 10]],1,LanguageSelect))</f>
        <v>Excel - Paper</v>
      </c>
    </row>
    <row r="115" spans="2:15" ht="16.5" hidden="1" customHeight="1">
      <c r="B115" s="61" cm="1">
        <f t="array" ref="B115">ROW()-ROW(TT[#Headers])</f>
        <v>113</v>
      </c>
      <c r="C115" s="61"/>
      <c r="D115" s="61"/>
      <c r="E115" s="61" t="s">
        <v>664</v>
      </c>
      <c r="F115" s="61" t="s">
        <v>665</v>
      </c>
      <c r="G115" s="61" t="s">
        <v>666</v>
      </c>
      <c r="H115" s="61" t="s">
        <v>667</v>
      </c>
      <c r="I115" s="61" t="s">
        <v>668</v>
      </c>
      <c r="J115" s="61" t="s">
        <v>669</v>
      </c>
      <c r="K115" s="61"/>
      <c r="L115" s="61"/>
      <c r="M115" s="61"/>
      <c r="N115" s="61"/>
      <c r="O115" s="61" t="str">
        <f>IF(INDEX(TT[[#This Row],[Language 1]:[Language 10]],1,LanguageSelect)="",TT[[#This Row],[Language 1]],INDEX(TT[[#This Row],[Language 1]:[Language 10]],1,LanguageSelect))</f>
        <v>Excel - Scissors</v>
      </c>
    </row>
    <row r="116" spans="2:15" ht="16.5" hidden="1" customHeight="1">
      <c r="B116" s="61" cm="1">
        <f t="array" ref="B116">ROW()-ROW(TT[#Headers])</f>
        <v>114</v>
      </c>
      <c r="C116" s="61"/>
      <c r="D116" s="61"/>
      <c r="E116" s="61" t="s">
        <v>670</v>
      </c>
      <c r="F116" s="61" t="s">
        <v>671</v>
      </c>
      <c r="G116" s="61" t="s">
        <v>672</v>
      </c>
      <c r="H116" s="61" t="s">
        <v>673</v>
      </c>
      <c r="I116" s="61" t="s">
        <v>674</v>
      </c>
      <c r="J116" s="61" t="s">
        <v>675</v>
      </c>
      <c r="K116" s="61"/>
      <c r="L116" s="61"/>
      <c r="M116" s="61"/>
      <c r="N116" s="61"/>
      <c r="O116" s="61" t="str">
        <f>IF(INDEX(TT[[#This Row],[Language 1]:[Language 10]],1,LanguageSelect)="",TT[[#This Row],[Language 1]],INDEX(TT[[#This Row],[Language 1]:[Language 10]],1,LanguageSelect))</f>
        <v>Clear data </v>
      </c>
    </row>
    <row r="117" spans="2:15" ht="16.5" customHeight="1">
      <c r="B117" s="61" cm="1">
        <f t="array" ref="B117">ROW()-ROW(TT[#Headers])</f>
        <v>115</v>
      </c>
      <c r="C117" s="61"/>
      <c r="D117" s="61"/>
      <c r="E117" s="61" t="s">
        <v>676</v>
      </c>
      <c r="F117" s="61" t="s">
        <v>677</v>
      </c>
      <c r="G117" s="61" t="s">
        <v>678</v>
      </c>
      <c r="H117" s="61" t="s">
        <v>679</v>
      </c>
      <c r="I117" s="61" t="s">
        <v>680</v>
      </c>
      <c r="J117" s="61" t="s">
        <v>79</v>
      </c>
      <c r="K117" s="61"/>
      <c r="L117" s="61"/>
      <c r="M117" s="61"/>
      <c r="N117" s="61"/>
      <c r="O117" s="61" t="str">
        <f>IF(INDEX(TT[[#This Row],[Language 1]:[Language 10]],1,LanguageSelect)="",TT[[#This Row],[Language 1]],INDEX(TT[[#This Row],[Language 1]:[Language 10]],1,LanguageSelect))</f>
        <v>Workbook Setup</v>
      </c>
    </row>
  </sheetData>
  <pageMargins left="0.7" right="0.7" top="0.75" bottom="0.75" header="0.3" footer="0.3"/>
  <pageSetup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5A417-8271-494D-B0AA-966EA870288A}">
  <sheetPr codeName="Sheet8"/>
  <dimension ref="A1:AJ21"/>
  <sheetViews>
    <sheetView showGridLines="0" zoomScale="137" zoomScaleNormal="137" workbookViewId="0"/>
  </sheetViews>
  <sheetFormatPr defaultColWidth="7.5" defaultRowHeight="22.5" customHeight="1"/>
  <cols>
    <col min="1" max="1" width="3.75" style="32" customWidth="1"/>
    <col min="2" max="2" width="2.5" style="17" customWidth="1"/>
    <col min="3" max="3" width="3.75" style="17" customWidth="1"/>
    <col min="4" max="5" width="22.5" style="17" customWidth="1"/>
    <col min="6" max="6" width="3.75" style="17" customWidth="1"/>
    <col min="7" max="7" width="2.5" style="17" customWidth="1"/>
    <col min="8" max="8" width="1.875" style="17" customWidth="1"/>
    <col min="9" max="9" width="2.5" style="17" customWidth="1"/>
    <col min="10" max="11" width="1.875" style="17" customWidth="1"/>
    <col min="12" max="13" width="6.875" style="17" customWidth="1"/>
    <col min="14" max="14" width="2.5" style="17" customWidth="1"/>
    <col min="15" max="15" width="1.875" style="17" customWidth="1"/>
    <col min="16" max="16" width="2.5" style="17" customWidth="1"/>
    <col min="17" max="17" width="5" style="17" customWidth="1"/>
    <col min="18" max="18" width="3.125" style="17" customWidth="1"/>
    <col min="19" max="19" width="6.25" style="17" customWidth="1"/>
    <col min="20" max="21" width="3.125" style="17" customWidth="1"/>
    <col min="22" max="22" width="6.25" style="17" customWidth="1"/>
    <col min="23" max="24" width="3.125" style="17" customWidth="1"/>
    <col min="25" max="25" width="6.25" style="17" customWidth="1"/>
    <col min="26" max="27" width="3.125" style="17" customWidth="1"/>
    <col min="28" max="28" width="6.25" style="17" customWidth="1"/>
    <col min="29" max="30" width="3.125" style="17" customWidth="1"/>
    <col min="31" max="31" width="6.25" style="17" customWidth="1"/>
    <col min="32" max="32" width="3.125" style="17" customWidth="1"/>
    <col min="33" max="33" width="2.5" style="17" customWidth="1"/>
    <col min="34" max="16384" width="7.5" style="17"/>
  </cols>
  <sheetData>
    <row r="1" spans="1:36" s="30" customFormat="1" ht="22.5" customHeight="1">
      <c r="A1" s="30">
        <v>30</v>
      </c>
      <c r="B1" s="30">
        <v>20</v>
      </c>
      <c r="C1" s="30">
        <v>30</v>
      </c>
      <c r="D1" s="30">
        <v>180</v>
      </c>
      <c r="E1" s="30">
        <v>180</v>
      </c>
      <c r="F1" s="30">
        <v>30</v>
      </c>
      <c r="G1" s="30">
        <v>20</v>
      </c>
      <c r="H1" s="30">
        <v>15</v>
      </c>
      <c r="I1" s="30">
        <v>20</v>
      </c>
      <c r="J1" s="30">
        <v>15</v>
      </c>
      <c r="K1" s="30">
        <v>15</v>
      </c>
      <c r="L1" s="30">
        <v>55</v>
      </c>
      <c r="M1" s="30">
        <v>55</v>
      </c>
      <c r="N1" s="30">
        <v>20</v>
      </c>
      <c r="O1" s="30">
        <v>15</v>
      </c>
      <c r="P1" s="30">
        <v>20</v>
      </c>
      <c r="Q1" s="30">
        <v>40</v>
      </c>
      <c r="R1" s="30">
        <v>25</v>
      </c>
      <c r="S1" s="30">
        <v>50</v>
      </c>
      <c r="T1" s="30">
        <v>25</v>
      </c>
      <c r="U1" s="30">
        <v>25</v>
      </c>
      <c r="V1" s="30">
        <v>50</v>
      </c>
      <c r="W1" s="30">
        <v>25</v>
      </c>
      <c r="X1" s="30">
        <v>25</v>
      </c>
      <c r="Y1" s="30">
        <v>50</v>
      </c>
      <c r="Z1" s="30">
        <v>25</v>
      </c>
      <c r="AA1" s="30">
        <v>25</v>
      </c>
      <c r="AB1" s="30">
        <v>50</v>
      </c>
      <c r="AC1" s="30">
        <v>25</v>
      </c>
      <c r="AD1" s="30">
        <v>25</v>
      </c>
      <c r="AE1" s="30">
        <v>50</v>
      </c>
      <c r="AF1" s="30">
        <v>25</v>
      </c>
      <c r="AG1" s="30">
        <v>20</v>
      </c>
    </row>
    <row r="2" spans="1:36" s="22" customFormat="1" ht="26.25" customHeight="1" thickBot="1">
      <c r="A2" s="32">
        <v>35</v>
      </c>
      <c r="B2" s="21"/>
      <c r="C2" s="18" t="str">
        <f>IF(HandSel=0,"◉","⭘")</f>
        <v>⭘</v>
      </c>
      <c r="D2" s="21" t="str">
        <f>TT!$O$22</f>
        <v>Left Hand</v>
      </c>
      <c r="E2" s="20" t="str">
        <f>TT!$O$23</f>
        <v>Right Hand</v>
      </c>
      <c r="F2" s="19" t="str">
        <f>IF(HandSel=1,"◉","⭘")</f>
        <v>◉</v>
      </c>
      <c r="G2" s="23"/>
      <c r="I2" s="21"/>
      <c r="J2" s="76" t="str">
        <f>TT!$O$24</f>
        <v>Phalanx</v>
      </c>
      <c r="K2" s="76"/>
      <c r="L2" s="76"/>
      <c r="M2" s="76"/>
      <c r="N2" s="23"/>
      <c r="P2" s="21"/>
      <c r="Q2" s="76" t="str">
        <f>TT!$O$25</f>
        <v>Phalanx flexion</v>
      </c>
      <c r="R2" s="76"/>
      <c r="S2" s="76"/>
      <c r="T2" s="76"/>
      <c r="U2" s="76"/>
      <c r="V2" s="76"/>
      <c r="W2" s="76"/>
      <c r="X2" s="76"/>
      <c r="Y2" s="76"/>
      <c r="Z2" s="76"/>
      <c r="AA2" s="76"/>
      <c r="AB2" s="76"/>
      <c r="AC2" s="76"/>
      <c r="AD2" s="76"/>
      <c r="AE2" s="76"/>
      <c r="AF2" s="76"/>
      <c r="AG2" s="21"/>
      <c r="AI2" s="31">
        <f>SUM(1:1)</f>
        <v>1280</v>
      </c>
      <c r="AJ2" s="31">
        <v>1280</v>
      </c>
    </row>
    <row r="3" spans="1:36" ht="18.75" customHeight="1">
      <c r="A3" s="32">
        <v>25</v>
      </c>
      <c r="B3" s="16"/>
      <c r="C3" s="16"/>
      <c r="D3" s="16"/>
      <c r="E3" s="16"/>
      <c r="F3" s="16"/>
      <c r="G3" s="16"/>
      <c r="I3" s="16"/>
      <c r="J3" s="16"/>
      <c r="K3" s="16"/>
      <c r="L3" s="16"/>
      <c r="M3" s="16"/>
      <c r="N3" s="16"/>
      <c r="P3" s="16"/>
      <c r="Q3" s="16"/>
      <c r="R3" s="16"/>
      <c r="S3" s="16"/>
      <c r="T3" s="16"/>
      <c r="U3" s="16"/>
      <c r="V3" s="16"/>
      <c r="W3" s="16"/>
      <c r="X3" s="16"/>
      <c r="Y3" s="16"/>
      <c r="Z3" s="16"/>
      <c r="AA3" s="16"/>
      <c r="AB3" s="16"/>
      <c r="AC3" s="16"/>
      <c r="AD3" s="16"/>
      <c r="AE3" s="16"/>
      <c r="AF3" s="16"/>
      <c r="AG3" s="16"/>
      <c r="AI3" s="32">
        <f>SUM(A:A)</f>
        <v>545</v>
      </c>
      <c r="AJ3" s="32">
        <v>545</v>
      </c>
    </row>
    <row r="4" spans="1:36" ht="15" customHeight="1">
      <c r="A4" s="32">
        <v>20</v>
      </c>
      <c r="B4" s="16"/>
      <c r="C4" s="16"/>
      <c r="D4" s="16"/>
      <c r="E4" s="16"/>
      <c r="F4" s="16"/>
      <c r="G4" s="16"/>
      <c r="I4" s="16"/>
      <c r="J4" s="24"/>
      <c r="K4" s="16"/>
      <c r="L4" s="16"/>
      <c r="M4" s="16"/>
      <c r="N4" s="16"/>
      <c r="P4" s="16"/>
      <c r="Q4" s="16"/>
      <c r="R4" s="16"/>
      <c r="S4" s="16"/>
      <c r="T4" s="16"/>
      <c r="U4" s="16"/>
      <c r="V4" s="16"/>
      <c r="W4" s="16"/>
      <c r="X4" s="16"/>
      <c r="Y4" s="16"/>
      <c r="Z4" s="16"/>
      <c r="AA4" s="16"/>
      <c r="AB4" s="16"/>
      <c r="AC4" s="16"/>
      <c r="AD4" s="16"/>
      <c r="AE4" s="16"/>
      <c r="AF4" s="16"/>
      <c r="AG4" s="16"/>
      <c r="AI4" s="32"/>
      <c r="AJ4" s="32"/>
    </row>
    <row r="5" spans="1:36" ht="22.5" customHeight="1">
      <c r="A5" s="32">
        <v>30</v>
      </c>
      <c r="B5" s="16"/>
      <c r="C5" s="16"/>
      <c r="D5" s="16"/>
      <c r="E5" s="16"/>
      <c r="F5" s="16"/>
      <c r="G5" s="16"/>
      <c r="I5" s="16"/>
      <c r="J5" s="24"/>
      <c r="K5" s="16"/>
      <c r="L5" s="77" t="str">
        <f>TT!$O$34</f>
        <v>Distal Phalanges</v>
      </c>
      <c r="M5" s="77"/>
      <c r="N5" s="16"/>
      <c r="P5" s="16"/>
      <c r="Q5" s="16"/>
      <c r="R5" s="16"/>
      <c r="S5" s="16"/>
      <c r="T5" s="16"/>
      <c r="U5" s="16"/>
      <c r="V5" s="16"/>
      <c r="W5" s="16"/>
      <c r="X5" s="16"/>
      <c r="Y5" s="16"/>
      <c r="Z5" s="16"/>
      <c r="AA5" s="16"/>
      <c r="AB5" s="16"/>
      <c r="AC5" s="16"/>
      <c r="AD5" s="16"/>
      <c r="AE5" s="16"/>
      <c r="AF5" s="16"/>
      <c r="AG5" s="16"/>
    </row>
    <row r="6" spans="1:36" ht="22.5" customHeight="1">
      <c r="A6" s="32">
        <v>30</v>
      </c>
      <c r="B6" s="16"/>
      <c r="C6" s="16"/>
      <c r="D6" s="16"/>
      <c r="E6" s="16"/>
      <c r="F6" s="16"/>
      <c r="G6" s="16"/>
      <c r="I6" s="16"/>
      <c r="J6" s="24"/>
      <c r="K6" s="16"/>
      <c r="L6" s="77"/>
      <c r="M6" s="77"/>
      <c r="N6" s="16"/>
      <c r="P6" s="16"/>
      <c r="Q6" s="16"/>
      <c r="R6" s="16"/>
      <c r="S6" s="16"/>
      <c r="T6" s="16"/>
      <c r="U6" s="16"/>
      <c r="V6" s="16"/>
      <c r="W6" s="16"/>
      <c r="X6" s="16"/>
      <c r="Y6" s="16"/>
      <c r="Z6" s="16"/>
      <c r="AA6" s="16"/>
      <c r="AB6" s="16"/>
      <c r="AC6" s="16"/>
      <c r="AD6" s="16"/>
      <c r="AE6" s="16"/>
      <c r="AF6" s="16"/>
      <c r="AG6" s="16"/>
    </row>
    <row r="7" spans="1:36" ht="15" customHeight="1">
      <c r="A7" s="32">
        <v>20</v>
      </c>
      <c r="B7" s="16"/>
      <c r="C7" s="16"/>
      <c r="D7" s="16"/>
      <c r="E7" s="16"/>
      <c r="F7" s="16"/>
      <c r="G7" s="16"/>
      <c r="I7" s="16"/>
      <c r="J7" s="27"/>
      <c r="K7" s="16"/>
      <c r="L7" s="16"/>
      <c r="M7" s="16"/>
      <c r="N7" s="16"/>
      <c r="P7" s="16"/>
      <c r="Q7" s="16"/>
      <c r="R7" s="16"/>
      <c r="S7" s="16"/>
      <c r="T7" s="16"/>
      <c r="U7" s="16"/>
      <c r="V7" s="16"/>
      <c r="W7" s="16"/>
      <c r="X7" s="16"/>
      <c r="Y7" s="16"/>
      <c r="Z7" s="16"/>
      <c r="AA7" s="16"/>
      <c r="AB7" s="16"/>
      <c r="AC7" s="16"/>
      <c r="AD7" s="16"/>
      <c r="AE7" s="16"/>
      <c r="AF7" s="16"/>
      <c r="AG7" s="16"/>
    </row>
    <row r="8" spans="1:36" ht="22.5" customHeight="1">
      <c r="A8" s="32">
        <v>30</v>
      </c>
      <c r="B8" s="16"/>
      <c r="C8" s="16"/>
      <c r="D8" s="16"/>
      <c r="E8" s="16"/>
      <c r="F8" s="16"/>
      <c r="G8" s="16"/>
      <c r="I8" s="16"/>
      <c r="J8" s="27"/>
      <c r="K8" s="16"/>
      <c r="L8" s="77" t="str">
        <f>TT!$O$35</f>
        <v>Middle Phalanges</v>
      </c>
      <c r="M8" s="77"/>
      <c r="N8" s="16"/>
      <c r="P8" s="16"/>
      <c r="Q8" s="16"/>
      <c r="R8" s="16"/>
      <c r="S8" s="16"/>
      <c r="T8" s="16"/>
      <c r="U8" s="16"/>
      <c r="V8" s="16"/>
      <c r="W8" s="16"/>
      <c r="X8" s="16"/>
      <c r="Y8" s="16"/>
      <c r="Z8" s="16"/>
      <c r="AA8" s="16"/>
      <c r="AB8" s="16"/>
      <c r="AC8" s="16"/>
      <c r="AD8" s="16"/>
      <c r="AE8" s="16"/>
      <c r="AF8" s="16"/>
      <c r="AG8" s="16"/>
    </row>
    <row r="9" spans="1:36" ht="22.5" customHeight="1">
      <c r="A9" s="32">
        <v>30</v>
      </c>
      <c r="B9" s="16"/>
      <c r="C9" s="16"/>
      <c r="D9" s="16"/>
      <c r="E9" s="16"/>
      <c r="F9" s="16"/>
      <c r="G9" s="16"/>
      <c r="I9" s="16"/>
      <c r="J9" s="27"/>
      <c r="K9" s="16"/>
      <c r="L9" s="77"/>
      <c r="M9" s="77"/>
      <c r="N9" s="16"/>
      <c r="P9" s="16"/>
      <c r="Q9" s="16"/>
      <c r="R9" s="16"/>
      <c r="S9" s="16"/>
      <c r="T9" s="16"/>
      <c r="U9" s="16"/>
      <c r="V9" s="16"/>
      <c r="W9" s="16"/>
      <c r="X9" s="16"/>
      <c r="Y9" s="16"/>
      <c r="Z9" s="16"/>
      <c r="AA9" s="16"/>
      <c r="AB9" s="16"/>
      <c r="AC9" s="16"/>
      <c r="AD9" s="16"/>
      <c r="AE9" s="16"/>
      <c r="AF9" s="16"/>
      <c r="AG9" s="16"/>
    </row>
    <row r="10" spans="1:36" ht="15" customHeight="1">
      <c r="A10" s="32">
        <v>20</v>
      </c>
      <c r="B10" s="16"/>
      <c r="C10" s="16"/>
      <c r="D10" s="16"/>
      <c r="E10" s="16"/>
      <c r="F10" s="16"/>
      <c r="G10" s="16"/>
      <c r="I10" s="16"/>
      <c r="J10" s="25"/>
      <c r="K10" s="16"/>
      <c r="L10" s="16"/>
      <c r="M10" s="16"/>
      <c r="N10" s="16"/>
      <c r="P10" s="16"/>
      <c r="Q10" s="16"/>
      <c r="R10" s="16"/>
      <c r="S10" s="16"/>
      <c r="T10" s="16"/>
      <c r="U10" s="16"/>
      <c r="V10" s="16"/>
      <c r="W10" s="16"/>
      <c r="X10" s="16"/>
      <c r="Y10" s="16"/>
      <c r="Z10" s="16"/>
      <c r="AA10" s="16"/>
      <c r="AB10" s="16"/>
      <c r="AC10" s="16"/>
      <c r="AD10" s="16"/>
      <c r="AE10" s="16"/>
      <c r="AF10" s="16"/>
      <c r="AG10" s="16"/>
    </row>
    <row r="11" spans="1:36" ht="22.5" customHeight="1">
      <c r="A11" s="32">
        <v>30</v>
      </c>
      <c r="B11" s="16"/>
      <c r="C11" s="16"/>
      <c r="D11" s="16"/>
      <c r="E11" s="16"/>
      <c r="F11" s="16"/>
      <c r="G11" s="16"/>
      <c r="I11" s="16"/>
      <c r="J11" s="25"/>
      <c r="K11" s="16"/>
      <c r="L11" s="77" t="str">
        <f>TT!$O$36</f>
        <v>Proximal Phalanges</v>
      </c>
      <c r="M11" s="77"/>
      <c r="N11" s="16"/>
      <c r="P11" s="16"/>
      <c r="Q11" s="16"/>
      <c r="R11" s="16"/>
      <c r="S11" s="16"/>
      <c r="T11" s="16"/>
      <c r="U11" s="16"/>
      <c r="V11" s="16"/>
      <c r="W11" s="16"/>
      <c r="X11" s="16"/>
      <c r="Y11" s="16"/>
      <c r="Z11" s="16"/>
      <c r="AA11" s="16"/>
      <c r="AB11" s="16"/>
      <c r="AC11" s="16"/>
      <c r="AD11" s="16"/>
      <c r="AE11" s="16"/>
      <c r="AF11" s="16"/>
      <c r="AG11" s="16"/>
    </row>
    <row r="12" spans="1:36" ht="22.5" customHeight="1">
      <c r="A12" s="32">
        <v>30</v>
      </c>
      <c r="B12" s="16"/>
      <c r="C12" s="16"/>
      <c r="D12" s="16"/>
      <c r="E12" s="16"/>
      <c r="F12" s="16"/>
      <c r="G12" s="16"/>
      <c r="I12" s="16"/>
      <c r="J12" s="25"/>
      <c r="K12" s="16"/>
      <c r="L12" s="77"/>
      <c r="M12" s="77"/>
      <c r="N12" s="16"/>
      <c r="P12" s="16"/>
      <c r="Q12" s="16"/>
      <c r="R12" s="16"/>
      <c r="S12" s="16"/>
      <c r="T12" s="16"/>
      <c r="U12" s="16"/>
      <c r="V12" s="16"/>
      <c r="W12" s="16"/>
      <c r="X12" s="16"/>
      <c r="Y12" s="16"/>
      <c r="Z12" s="16"/>
      <c r="AA12" s="16"/>
      <c r="AB12" s="16"/>
      <c r="AC12" s="16"/>
      <c r="AD12" s="16"/>
      <c r="AE12" s="16"/>
      <c r="AF12" s="16"/>
      <c r="AG12" s="16"/>
    </row>
    <row r="13" spans="1:36" ht="15" customHeight="1">
      <c r="A13" s="32">
        <v>20</v>
      </c>
      <c r="B13" s="16"/>
      <c r="C13" s="16"/>
      <c r="D13" s="16"/>
      <c r="E13" s="16"/>
      <c r="F13" s="16"/>
      <c r="G13" s="16"/>
      <c r="I13" s="16"/>
      <c r="J13" s="26"/>
      <c r="K13" s="16"/>
      <c r="L13" s="16"/>
      <c r="M13" s="16"/>
      <c r="N13" s="16"/>
      <c r="P13" s="16"/>
      <c r="Q13" s="16"/>
      <c r="R13" s="16"/>
      <c r="S13" s="16"/>
      <c r="T13" s="16"/>
      <c r="U13" s="16"/>
      <c r="V13" s="16"/>
      <c r="W13" s="16"/>
      <c r="X13" s="16"/>
      <c r="Y13" s="16"/>
      <c r="Z13" s="16"/>
      <c r="AA13" s="16"/>
      <c r="AB13" s="16"/>
      <c r="AC13" s="16"/>
      <c r="AD13" s="16"/>
      <c r="AE13" s="16"/>
      <c r="AF13" s="16"/>
      <c r="AG13" s="16"/>
    </row>
    <row r="14" spans="1:36" ht="22.5" customHeight="1">
      <c r="A14" s="32">
        <v>30</v>
      </c>
      <c r="B14" s="16"/>
      <c r="C14" s="16"/>
      <c r="D14" s="16"/>
      <c r="E14" s="16"/>
      <c r="F14" s="16"/>
      <c r="G14" s="16"/>
      <c r="I14" s="16"/>
      <c r="J14" s="26"/>
      <c r="K14" s="16"/>
      <c r="L14" s="77" t="str">
        <f>TT!$O$37</f>
        <v>Metacarpals</v>
      </c>
      <c r="M14" s="77"/>
      <c r="N14" s="16"/>
      <c r="P14" s="16"/>
      <c r="Q14" s="16"/>
      <c r="R14" s="16"/>
      <c r="S14" s="16"/>
      <c r="T14" s="16"/>
      <c r="U14" s="16"/>
      <c r="V14" s="16"/>
      <c r="W14" s="16"/>
      <c r="X14" s="16"/>
      <c r="Y14" s="16"/>
      <c r="Z14" s="16"/>
      <c r="AA14" s="16"/>
      <c r="AB14" s="16"/>
      <c r="AC14" s="16"/>
      <c r="AD14" s="16"/>
      <c r="AE14" s="16"/>
      <c r="AF14" s="16"/>
      <c r="AG14" s="16"/>
    </row>
    <row r="15" spans="1:36" ht="22.5" customHeight="1">
      <c r="A15" s="32">
        <v>30</v>
      </c>
      <c r="B15" s="16"/>
      <c r="C15" s="16"/>
      <c r="D15" s="16"/>
      <c r="E15" s="16"/>
      <c r="F15" s="16"/>
      <c r="G15" s="16"/>
      <c r="I15" s="16"/>
      <c r="J15" s="26"/>
      <c r="K15" s="16"/>
      <c r="L15" s="77"/>
      <c r="M15" s="77"/>
      <c r="N15" s="16"/>
      <c r="P15" s="16"/>
      <c r="Q15" s="16"/>
      <c r="R15" s="16"/>
      <c r="S15" s="16"/>
      <c r="T15" s="16"/>
      <c r="U15" s="16"/>
      <c r="V15" s="16"/>
      <c r="W15" s="16"/>
      <c r="X15" s="16"/>
      <c r="Y15" s="16"/>
      <c r="Z15" s="16"/>
      <c r="AA15" s="16"/>
      <c r="AB15" s="16"/>
      <c r="AC15" s="16"/>
      <c r="AD15" s="16"/>
      <c r="AE15" s="16"/>
      <c r="AF15" s="16"/>
      <c r="AG15" s="16"/>
    </row>
    <row r="16" spans="1:36" ht="18.75" customHeight="1">
      <c r="A16" s="32">
        <v>25</v>
      </c>
      <c r="B16" s="16"/>
      <c r="C16" s="16"/>
      <c r="D16" s="16"/>
      <c r="E16" s="16"/>
      <c r="F16" s="16"/>
      <c r="G16" s="16"/>
      <c r="I16" s="16"/>
      <c r="J16" s="16"/>
      <c r="K16" s="16"/>
      <c r="L16" s="16"/>
      <c r="M16" s="16"/>
      <c r="N16" s="16"/>
      <c r="P16" s="16"/>
      <c r="Q16" s="16"/>
      <c r="R16" s="16"/>
      <c r="S16" s="16"/>
      <c r="T16" s="16"/>
      <c r="U16" s="16"/>
      <c r="V16" s="16"/>
      <c r="W16" s="16"/>
      <c r="X16" s="16"/>
      <c r="Y16" s="16"/>
      <c r="Z16" s="16"/>
      <c r="AA16" s="16"/>
      <c r="AB16" s="16"/>
      <c r="AC16" s="16"/>
      <c r="AD16" s="16"/>
      <c r="AE16" s="16"/>
      <c r="AF16" s="16"/>
      <c r="AG16" s="16"/>
    </row>
    <row r="17" spans="1:33" ht="11.25" customHeight="1">
      <c r="A17" s="32">
        <v>15</v>
      </c>
      <c r="B17" s="16"/>
      <c r="C17" s="16"/>
      <c r="D17" s="16"/>
      <c r="E17" s="16"/>
      <c r="F17" s="16"/>
      <c r="G17" s="16"/>
      <c r="P17" s="16"/>
      <c r="Q17" s="16"/>
      <c r="R17" s="16"/>
      <c r="S17" s="16"/>
      <c r="T17" s="16"/>
      <c r="U17" s="16"/>
      <c r="V17" s="16"/>
      <c r="W17" s="16"/>
      <c r="X17" s="16"/>
      <c r="Y17" s="16"/>
      <c r="Z17" s="16"/>
      <c r="AA17" s="16"/>
      <c r="AB17" s="16"/>
      <c r="AC17" s="16"/>
      <c r="AD17" s="16"/>
      <c r="AE17" s="16"/>
      <c r="AF17" s="16"/>
      <c r="AG17" s="16"/>
    </row>
    <row r="18" spans="1:33" ht="18.75" customHeight="1">
      <c r="A18" s="32">
        <v>25</v>
      </c>
      <c r="B18" s="16"/>
      <c r="C18" s="16"/>
      <c r="D18" s="16"/>
      <c r="E18" s="16"/>
      <c r="F18" s="16"/>
      <c r="G18" s="16"/>
      <c r="I18" s="16"/>
      <c r="J18" s="16"/>
      <c r="K18" s="16"/>
      <c r="L18" s="16"/>
      <c r="M18" s="16"/>
      <c r="N18" s="16"/>
      <c r="P18" s="16"/>
      <c r="Q18" s="16"/>
      <c r="R18" s="16"/>
      <c r="S18" s="16"/>
      <c r="T18" s="16"/>
      <c r="U18" s="16"/>
      <c r="V18" s="16"/>
      <c r="W18" s="16"/>
      <c r="X18" s="16"/>
      <c r="Y18" s="16"/>
      <c r="Z18" s="16"/>
      <c r="AA18" s="16"/>
      <c r="AB18" s="16"/>
      <c r="AC18" s="16"/>
      <c r="AD18" s="16"/>
      <c r="AE18" s="16"/>
      <c r="AF18" s="16"/>
      <c r="AG18" s="16"/>
    </row>
    <row r="19" spans="1:33" ht="18.75" customHeight="1">
      <c r="A19" s="32">
        <v>25</v>
      </c>
      <c r="B19" s="16"/>
      <c r="C19" s="16"/>
      <c r="D19" s="16"/>
      <c r="E19" s="16"/>
      <c r="F19" s="16"/>
      <c r="G19" s="16"/>
      <c r="I19" s="16"/>
      <c r="J19" s="110" t="str">
        <f>TT!$O$32</f>
        <v>100% = Full Flexion</v>
      </c>
      <c r="K19" s="110"/>
      <c r="L19" s="110"/>
      <c r="M19" s="110"/>
      <c r="N19" s="16"/>
      <c r="P19" s="16"/>
      <c r="Q19" s="16"/>
      <c r="R19" s="78">
        <f>Backend!$AT$3</f>
        <v>0</v>
      </c>
      <c r="S19" s="78"/>
      <c r="T19" s="78"/>
      <c r="U19" s="78">
        <f>Backend!$AT$4</f>
        <v>0</v>
      </c>
      <c r="V19" s="78"/>
      <c r="W19" s="78"/>
      <c r="X19" s="78">
        <f>Backend!$AT$5</f>
        <v>0</v>
      </c>
      <c r="Y19" s="78"/>
      <c r="Z19" s="78"/>
      <c r="AA19" s="78">
        <f>Backend!$AT$6</f>
        <v>0</v>
      </c>
      <c r="AB19" s="78"/>
      <c r="AC19" s="78"/>
      <c r="AD19" s="78">
        <f>Backend!$AT$7</f>
        <v>0</v>
      </c>
      <c r="AE19" s="78"/>
      <c r="AF19" s="78"/>
      <c r="AG19" s="16"/>
    </row>
    <row r="20" spans="1:33" ht="18.75" customHeight="1">
      <c r="A20" s="32">
        <v>25</v>
      </c>
      <c r="B20" s="16"/>
      <c r="C20" s="16"/>
      <c r="D20" s="16"/>
      <c r="E20" s="16"/>
      <c r="F20" s="16"/>
      <c r="G20" s="16"/>
      <c r="I20" s="16"/>
      <c r="J20" s="110" t="str">
        <f>TT!$O$33</f>
        <v>0% = Full Extension</v>
      </c>
      <c r="K20" s="110"/>
      <c r="L20" s="110"/>
      <c r="M20" s="110"/>
      <c r="N20" s="16"/>
      <c r="P20" s="16"/>
      <c r="Q20" s="16"/>
      <c r="R20" s="78"/>
      <c r="S20" s="78"/>
      <c r="T20" s="78"/>
      <c r="U20" s="78"/>
      <c r="V20" s="78"/>
      <c r="W20" s="78"/>
      <c r="X20" s="78"/>
      <c r="Y20" s="78"/>
      <c r="Z20" s="78"/>
      <c r="AA20" s="78"/>
      <c r="AB20" s="78"/>
      <c r="AC20" s="78"/>
      <c r="AD20" s="78"/>
      <c r="AE20" s="78"/>
      <c r="AF20" s="78"/>
      <c r="AG20" s="16"/>
    </row>
    <row r="21" spans="1:33" ht="15" customHeight="1">
      <c r="A21" s="32">
        <v>20</v>
      </c>
      <c r="B21" s="16"/>
      <c r="C21" s="16"/>
      <c r="D21" s="16"/>
      <c r="E21" s="16"/>
      <c r="F21" s="16"/>
      <c r="G21" s="16"/>
      <c r="I21" s="16"/>
      <c r="J21" s="16"/>
      <c r="K21" s="16"/>
      <c r="L21" s="16"/>
      <c r="M21" s="16"/>
      <c r="N21" s="16"/>
      <c r="P21" s="16"/>
      <c r="Q21" s="16"/>
      <c r="R21" s="16"/>
      <c r="S21" s="16"/>
      <c r="T21" s="16"/>
      <c r="U21" s="16"/>
      <c r="V21" s="16"/>
      <c r="W21" s="16"/>
      <c r="X21" s="16"/>
      <c r="Y21" s="16"/>
      <c r="Z21" s="16"/>
      <c r="AA21" s="16"/>
      <c r="AB21" s="16"/>
      <c r="AC21" s="16"/>
      <c r="AD21" s="16"/>
      <c r="AE21" s="16"/>
      <c r="AF21" s="16"/>
      <c r="AG21" s="16"/>
    </row>
  </sheetData>
  <sheetProtection sheet="1" objects="1" scenarios="1"/>
  <mergeCells count="13">
    <mergeCell ref="Q2:AF2"/>
    <mergeCell ref="J20:M20"/>
    <mergeCell ref="J2:M2"/>
    <mergeCell ref="L5:M6"/>
    <mergeCell ref="L8:M9"/>
    <mergeCell ref="L11:M12"/>
    <mergeCell ref="L14:M15"/>
    <mergeCell ref="J19:M19"/>
    <mergeCell ref="R19:T20"/>
    <mergeCell ref="U19:W20"/>
    <mergeCell ref="X19:Z20"/>
    <mergeCell ref="AA19:AC20"/>
    <mergeCell ref="AD19:AF20"/>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7202E-A05B-48FD-8891-4B2628DAB28C}">
  <sheetPr codeName="Sheet1"/>
  <dimension ref="A1:AJ21"/>
  <sheetViews>
    <sheetView showGridLines="0" zoomScale="137" zoomScaleNormal="137" workbookViewId="0"/>
  </sheetViews>
  <sheetFormatPr defaultColWidth="7.5" defaultRowHeight="22.5" customHeight="1"/>
  <cols>
    <col min="1" max="1" width="3.75" style="32" customWidth="1"/>
    <col min="2" max="2" width="2.5" style="17" customWidth="1"/>
    <col min="3" max="3" width="3.75" style="17" customWidth="1"/>
    <col min="4" max="5" width="22.5" style="17" customWidth="1"/>
    <col min="6" max="6" width="3.75" style="17" customWidth="1"/>
    <col min="7" max="7" width="2.5" style="17" customWidth="1"/>
    <col min="8" max="8" width="1.875" style="17" customWidth="1"/>
    <col min="9" max="9" width="2.5" style="17" customWidth="1"/>
    <col min="10" max="11" width="1.875" style="17" customWidth="1"/>
    <col min="12" max="13" width="6.875" style="17" customWidth="1"/>
    <col min="14" max="14" width="2.5" style="17" customWidth="1"/>
    <col min="15" max="15" width="1.875" style="17" customWidth="1"/>
    <col min="16" max="16" width="2.5" style="17" customWidth="1"/>
    <col min="17" max="17" width="5" style="17" customWidth="1"/>
    <col min="18" max="18" width="3.125" style="17" customWidth="1"/>
    <col min="19" max="19" width="6.25" style="17" customWidth="1"/>
    <col min="20" max="21" width="3.125" style="17" customWidth="1"/>
    <col min="22" max="22" width="6.25" style="17" customWidth="1"/>
    <col min="23" max="24" width="3.125" style="17" customWidth="1"/>
    <col min="25" max="25" width="6.25" style="17" customWidth="1"/>
    <col min="26" max="27" width="3.125" style="17" customWidth="1"/>
    <col min="28" max="28" width="6.25" style="17" customWidth="1"/>
    <col min="29" max="30" width="3.125" style="17" customWidth="1"/>
    <col min="31" max="31" width="6.25" style="17" customWidth="1"/>
    <col min="32" max="32" width="3.125" style="17" customWidth="1"/>
    <col min="33" max="33" width="2.5" style="17" customWidth="1"/>
    <col min="34" max="16384" width="7.5" style="17"/>
  </cols>
  <sheetData>
    <row r="1" spans="1:36" s="30" customFormat="1" ht="22.5" customHeight="1">
      <c r="A1" s="30">
        <v>30</v>
      </c>
      <c r="B1" s="30">
        <v>20</v>
      </c>
      <c r="C1" s="30">
        <v>30</v>
      </c>
      <c r="D1" s="30">
        <v>180</v>
      </c>
      <c r="E1" s="30">
        <v>180</v>
      </c>
      <c r="F1" s="30">
        <v>30</v>
      </c>
      <c r="G1" s="30">
        <v>20</v>
      </c>
      <c r="H1" s="30">
        <v>15</v>
      </c>
      <c r="I1" s="30">
        <v>20</v>
      </c>
      <c r="J1" s="30">
        <v>15</v>
      </c>
      <c r="K1" s="30">
        <v>15</v>
      </c>
      <c r="L1" s="30">
        <v>55</v>
      </c>
      <c r="M1" s="30">
        <v>55</v>
      </c>
      <c r="N1" s="30">
        <v>20</v>
      </c>
      <c r="O1" s="30">
        <v>15</v>
      </c>
      <c r="P1" s="30">
        <v>20</v>
      </c>
      <c r="Q1" s="30">
        <v>40</v>
      </c>
      <c r="R1" s="30">
        <v>25</v>
      </c>
      <c r="S1" s="30">
        <v>50</v>
      </c>
      <c r="T1" s="30">
        <v>25</v>
      </c>
      <c r="U1" s="30">
        <v>25</v>
      </c>
      <c r="V1" s="30">
        <v>50</v>
      </c>
      <c r="W1" s="30">
        <v>25</v>
      </c>
      <c r="X1" s="30">
        <v>25</v>
      </c>
      <c r="Y1" s="30">
        <v>50</v>
      </c>
      <c r="Z1" s="30">
        <v>25</v>
      </c>
      <c r="AA1" s="30">
        <v>25</v>
      </c>
      <c r="AB1" s="30">
        <v>50</v>
      </c>
      <c r="AC1" s="30">
        <v>25</v>
      </c>
      <c r="AD1" s="30">
        <v>25</v>
      </c>
      <c r="AE1" s="30">
        <v>50</v>
      </c>
      <c r="AF1" s="30">
        <v>25</v>
      </c>
      <c r="AG1" s="30">
        <v>20</v>
      </c>
    </row>
    <row r="2" spans="1:36" s="22" customFormat="1" ht="26.25" customHeight="1" thickBot="1">
      <c r="A2" s="32">
        <v>35</v>
      </c>
      <c r="B2" s="21"/>
      <c r="C2" s="18" t="str">
        <f>IF(HandSel=0,"◉","⭘")</f>
        <v>⭘</v>
      </c>
      <c r="D2" s="21" t="str">
        <f>TT!$O$22</f>
        <v>Left Hand</v>
      </c>
      <c r="E2" s="20" t="str">
        <f>TT!$O$23</f>
        <v>Right Hand</v>
      </c>
      <c r="F2" s="19" t="str">
        <f>IF(HandSel=1,"◉","⭘")</f>
        <v>◉</v>
      </c>
      <c r="G2" s="23"/>
      <c r="I2" s="21"/>
      <c r="J2" s="76" t="str">
        <f>TT!$O$24</f>
        <v>Phalanx</v>
      </c>
      <c r="K2" s="76"/>
      <c r="L2" s="76"/>
      <c r="M2" s="76"/>
      <c r="N2" s="23"/>
      <c r="P2" s="21"/>
      <c r="Q2" s="76" t="str">
        <f>TT!$O$25</f>
        <v>Phalanx flexion</v>
      </c>
      <c r="R2" s="76"/>
      <c r="S2" s="76"/>
      <c r="T2" s="76"/>
      <c r="U2" s="76"/>
      <c r="V2" s="76"/>
      <c r="W2" s="76"/>
      <c r="X2" s="76"/>
      <c r="Y2" s="76"/>
      <c r="Z2" s="76"/>
      <c r="AA2" s="76"/>
      <c r="AB2" s="76"/>
      <c r="AC2" s="76"/>
      <c r="AD2" s="76"/>
      <c r="AE2" s="76"/>
      <c r="AF2" s="76"/>
      <c r="AG2" s="21"/>
      <c r="AI2" s="31">
        <f>SUM(1:1)</f>
        <v>1280</v>
      </c>
      <c r="AJ2" s="31">
        <v>1280</v>
      </c>
    </row>
    <row r="3" spans="1:36" ht="18.75" customHeight="1">
      <c r="A3" s="32">
        <v>25</v>
      </c>
      <c r="B3" s="16"/>
      <c r="C3" s="16"/>
      <c r="D3" s="16"/>
      <c r="E3" s="16"/>
      <c r="F3" s="16"/>
      <c r="G3" s="16"/>
      <c r="I3" s="16"/>
      <c r="J3" s="16"/>
      <c r="K3" s="16"/>
      <c r="L3" s="16"/>
      <c r="M3" s="16"/>
      <c r="N3" s="16"/>
      <c r="P3" s="16"/>
      <c r="Q3" s="16"/>
      <c r="R3" s="16"/>
      <c r="S3" s="16"/>
      <c r="T3" s="16"/>
      <c r="U3" s="16"/>
      <c r="V3" s="16"/>
      <c r="W3" s="16"/>
      <c r="X3" s="16"/>
      <c r="Y3" s="16"/>
      <c r="Z3" s="16"/>
      <c r="AA3" s="16"/>
      <c r="AB3" s="16"/>
      <c r="AC3" s="16"/>
      <c r="AD3" s="16"/>
      <c r="AE3" s="16"/>
      <c r="AF3" s="16"/>
      <c r="AG3" s="16"/>
      <c r="AI3" s="32">
        <f>SUM(A:A)</f>
        <v>545</v>
      </c>
      <c r="AJ3" s="32">
        <v>545</v>
      </c>
    </row>
    <row r="4" spans="1:36" ht="15" customHeight="1">
      <c r="A4" s="32">
        <v>20</v>
      </c>
      <c r="B4" s="16"/>
      <c r="C4" s="16"/>
      <c r="D4" s="16"/>
      <c r="E4" s="16"/>
      <c r="F4" s="16"/>
      <c r="G4" s="16"/>
      <c r="I4" s="16"/>
      <c r="J4" s="24"/>
      <c r="K4" s="16"/>
      <c r="L4" s="16"/>
      <c r="M4" s="16"/>
      <c r="N4" s="16"/>
      <c r="P4" s="16"/>
      <c r="Q4" s="16"/>
      <c r="R4" s="16"/>
      <c r="S4" s="16"/>
      <c r="T4" s="16"/>
      <c r="U4" s="16"/>
      <c r="V4" s="16"/>
      <c r="W4" s="16"/>
      <c r="X4" s="16"/>
      <c r="Y4" s="16"/>
      <c r="Z4" s="16"/>
      <c r="AA4" s="16"/>
      <c r="AB4" s="16"/>
      <c r="AC4" s="16"/>
      <c r="AD4" s="16"/>
      <c r="AE4" s="16"/>
      <c r="AF4" s="16"/>
      <c r="AG4" s="16"/>
      <c r="AI4" s="32"/>
      <c r="AJ4" s="32"/>
    </row>
    <row r="5" spans="1:36" ht="22.5" customHeight="1">
      <c r="A5" s="32">
        <v>30</v>
      </c>
      <c r="B5" s="16"/>
      <c r="C5" s="16"/>
      <c r="D5" s="16"/>
      <c r="E5" s="16"/>
      <c r="F5" s="16"/>
      <c r="G5" s="16"/>
      <c r="I5" s="16"/>
      <c r="J5" s="24"/>
      <c r="K5" s="16"/>
      <c r="L5" s="77" t="str">
        <f>TT!$O$34</f>
        <v>Distal Phalanges</v>
      </c>
      <c r="M5" s="77"/>
      <c r="N5" s="16"/>
      <c r="P5" s="16"/>
      <c r="Q5" s="16"/>
      <c r="R5" s="16"/>
      <c r="S5" s="16"/>
      <c r="T5" s="16"/>
      <c r="U5" s="16"/>
      <c r="V5" s="16"/>
      <c r="W5" s="16"/>
      <c r="X5" s="16"/>
      <c r="Y5" s="16"/>
      <c r="Z5" s="16"/>
      <c r="AA5" s="16"/>
      <c r="AB5" s="16"/>
      <c r="AC5" s="16"/>
      <c r="AD5" s="16"/>
      <c r="AE5" s="16"/>
      <c r="AF5" s="16"/>
      <c r="AG5" s="16"/>
    </row>
    <row r="6" spans="1:36" ht="22.5" customHeight="1">
      <c r="A6" s="32">
        <v>30</v>
      </c>
      <c r="B6" s="16"/>
      <c r="C6" s="16"/>
      <c r="D6" s="16"/>
      <c r="E6" s="16"/>
      <c r="F6" s="16"/>
      <c r="G6" s="16"/>
      <c r="I6" s="16"/>
      <c r="J6" s="24"/>
      <c r="K6" s="16"/>
      <c r="L6" s="77"/>
      <c r="M6" s="77"/>
      <c r="N6" s="16"/>
      <c r="P6" s="16"/>
      <c r="Q6" s="16"/>
      <c r="R6" s="16"/>
      <c r="S6" s="16"/>
      <c r="T6" s="16"/>
      <c r="U6" s="16"/>
      <c r="V6" s="16"/>
      <c r="W6" s="16"/>
      <c r="X6" s="16"/>
      <c r="Y6" s="16"/>
      <c r="Z6" s="16"/>
      <c r="AA6" s="16"/>
      <c r="AB6" s="16"/>
      <c r="AC6" s="16"/>
      <c r="AD6" s="16"/>
      <c r="AE6" s="16"/>
      <c r="AF6" s="16"/>
      <c r="AG6" s="16"/>
    </row>
    <row r="7" spans="1:36" ht="15" customHeight="1">
      <c r="A7" s="32">
        <v>20</v>
      </c>
      <c r="B7" s="16"/>
      <c r="C7" s="16"/>
      <c r="D7" s="16"/>
      <c r="E7" s="16"/>
      <c r="F7" s="16"/>
      <c r="G7" s="16"/>
      <c r="I7" s="16"/>
      <c r="J7" s="27"/>
      <c r="K7" s="16"/>
      <c r="L7" s="16"/>
      <c r="M7" s="16"/>
      <c r="N7" s="16"/>
      <c r="P7" s="16"/>
      <c r="Q7" s="16"/>
      <c r="R7" s="16"/>
      <c r="S7" s="16"/>
      <c r="T7" s="16"/>
      <c r="U7" s="16"/>
      <c r="V7" s="16"/>
      <c r="W7" s="16"/>
      <c r="X7" s="16"/>
      <c r="Y7" s="16"/>
      <c r="Z7" s="16"/>
      <c r="AA7" s="16"/>
      <c r="AB7" s="16"/>
      <c r="AC7" s="16"/>
      <c r="AD7" s="16"/>
      <c r="AE7" s="16"/>
      <c r="AF7" s="16"/>
      <c r="AG7" s="16"/>
    </row>
    <row r="8" spans="1:36" ht="22.5" customHeight="1">
      <c r="A8" s="32">
        <v>30</v>
      </c>
      <c r="B8" s="16"/>
      <c r="C8" s="16"/>
      <c r="D8" s="16"/>
      <c r="E8" s="16"/>
      <c r="F8" s="16"/>
      <c r="G8" s="16"/>
      <c r="I8" s="16"/>
      <c r="J8" s="27"/>
      <c r="K8" s="16"/>
      <c r="L8" s="77" t="str">
        <f>TT!$O$35</f>
        <v>Middle Phalanges</v>
      </c>
      <c r="M8" s="77"/>
      <c r="N8" s="16"/>
      <c r="P8" s="16"/>
      <c r="Q8" s="16"/>
      <c r="R8" s="16"/>
      <c r="S8" s="16"/>
      <c r="T8" s="16"/>
      <c r="U8" s="16"/>
      <c r="V8" s="16"/>
      <c r="W8" s="16"/>
      <c r="X8" s="16"/>
      <c r="Y8" s="16"/>
      <c r="Z8" s="16"/>
      <c r="AA8" s="16"/>
      <c r="AB8" s="16"/>
      <c r="AC8" s="16"/>
      <c r="AD8" s="16"/>
      <c r="AE8" s="16"/>
      <c r="AF8" s="16"/>
      <c r="AG8" s="16"/>
    </row>
    <row r="9" spans="1:36" ht="22.5" customHeight="1">
      <c r="A9" s="32">
        <v>30</v>
      </c>
      <c r="B9" s="16"/>
      <c r="C9" s="16"/>
      <c r="D9" s="16"/>
      <c r="E9" s="16"/>
      <c r="F9" s="16"/>
      <c r="G9" s="16"/>
      <c r="I9" s="16"/>
      <c r="J9" s="27"/>
      <c r="K9" s="16"/>
      <c r="L9" s="77"/>
      <c r="M9" s="77"/>
      <c r="N9" s="16"/>
      <c r="P9" s="16"/>
      <c r="Q9" s="16"/>
      <c r="R9" s="16"/>
      <c r="S9" s="16"/>
      <c r="T9" s="16"/>
      <c r="U9" s="16"/>
      <c r="V9" s="16"/>
      <c r="W9" s="16"/>
      <c r="X9" s="16"/>
      <c r="Y9" s="16"/>
      <c r="Z9" s="16"/>
      <c r="AA9" s="16"/>
      <c r="AB9" s="16"/>
      <c r="AC9" s="16"/>
      <c r="AD9" s="16"/>
      <c r="AE9" s="16"/>
      <c r="AF9" s="16"/>
      <c r="AG9" s="16"/>
    </row>
    <row r="10" spans="1:36" ht="15" customHeight="1">
      <c r="A10" s="32">
        <v>20</v>
      </c>
      <c r="B10" s="16"/>
      <c r="C10" s="16"/>
      <c r="D10" s="16"/>
      <c r="E10" s="16"/>
      <c r="F10" s="16"/>
      <c r="G10" s="16"/>
      <c r="I10" s="16"/>
      <c r="J10" s="25"/>
      <c r="K10" s="16"/>
      <c r="L10" s="16"/>
      <c r="M10" s="16"/>
      <c r="N10" s="16"/>
      <c r="P10" s="16"/>
      <c r="Q10" s="16"/>
      <c r="R10" s="16"/>
      <c r="S10" s="16"/>
      <c r="T10" s="16"/>
      <c r="U10" s="16"/>
      <c r="V10" s="16"/>
      <c r="W10" s="16"/>
      <c r="X10" s="16"/>
      <c r="Y10" s="16"/>
      <c r="Z10" s="16"/>
      <c r="AA10" s="16"/>
      <c r="AB10" s="16"/>
      <c r="AC10" s="16"/>
      <c r="AD10" s="16"/>
      <c r="AE10" s="16"/>
      <c r="AF10" s="16"/>
      <c r="AG10" s="16"/>
    </row>
    <row r="11" spans="1:36" ht="22.5" customHeight="1">
      <c r="A11" s="32">
        <v>30</v>
      </c>
      <c r="B11" s="16"/>
      <c r="C11" s="16"/>
      <c r="D11" s="16"/>
      <c r="E11" s="16"/>
      <c r="F11" s="16"/>
      <c r="G11" s="16"/>
      <c r="I11" s="16"/>
      <c r="J11" s="25"/>
      <c r="K11" s="16"/>
      <c r="L11" s="77" t="str">
        <f>TT!$O$36</f>
        <v>Proximal Phalanges</v>
      </c>
      <c r="M11" s="77"/>
      <c r="N11" s="16"/>
      <c r="P11" s="16"/>
      <c r="Q11" s="16"/>
      <c r="R11" s="16"/>
      <c r="S11" s="16"/>
      <c r="T11" s="16"/>
      <c r="U11" s="16"/>
      <c r="V11" s="16"/>
      <c r="W11" s="16"/>
      <c r="X11" s="16"/>
      <c r="Y11" s="16"/>
      <c r="Z11" s="16"/>
      <c r="AA11" s="16"/>
      <c r="AB11" s="16"/>
      <c r="AC11" s="16"/>
      <c r="AD11" s="16"/>
      <c r="AE11" s="16"/>
      <c r="AF11" s="16"/>
      <c r="AG11" s="16"/>
    </row>
    <row r="12" spans="1:36" ht="22.5" customHeight="1">
      <c r="A12" s="32">
        <v>30</v>
      </c>
      <c r="B12" s="16"/>
      <c r="C12" s="16"/>
      <c r="D12" s="16"/>
      <c r="E12" s="16"/>
      <c r="F12" s="16"/>
      <c r="G12" s="16"/>
      <c r="I12" s="16"/>
      <c r="J12" s="25"/>
      <c r="K12" s="16"/>
      <c r="L12" s="77"/>
      <c r="M12" s="77"/>
      <c r="N12" s="16"/>
      <c r="P12" s="16"/>
      <c r="Q12" s="16"/>
      <c r="R12" s="16"/>
      <c r="S12" s="16"/>
      <c r="T12" s="16"/>
      <c r="U12" s="16"/>
      <c r="V12" s="16"/>
      <c r="W12" s="16"/>
      <c r="X12" s="16"/>
      <c r="Y12" s="16"/>
      <c r="Z12" s="16"/>
      <c r="AA12" s="16"/>
      <c r="AB12" s="16"/>
      <c r="AC12" s="16"/>
      <c r="AD12" s="16"/>
      <c r="AE12" s="16"/>
      <c r="AF12" s="16"/>
      <c r="AG12" s="16"/>
    </row>
    <row r="13" spans="1:36" ht="15" customHeight="1">
      <c r="A13" s="32">
        <v>20</v>
      </c>
      <c r="B13" s="16"/>
      <c r="C13" s="16"/>
      <c r="D13" s="16"/>
      <c r="E13" s="16"/>
      <c r="F13" s="16"/>
      <c r="G13" s="16"/>
      <c r="I13" s="16"/>
      <c r="J13" s="26"/>
      <c r="K13" s="16"/>
      <c r="L13" s="16"/>
      <c r="M13" s="16"/>
      <c r="N13" s="16"/>
      <c r="P13" s="16"/>
      <c r="Q13" s="16"/>
      <c r="R13" s="16"/>
      <c r="S13" s="16"/>
      <c r="T13" s="16"/>
      <c r="U13" s="16"/>
      <c r="V13" s="16"/>
      <c r="W13" s="16"/>
      <c r="X13" s="16"/>
      <c r="Y13" s="16"/>
      <c r="Z13" s="16"/>
      <c r="AA13" s="16"/>
      <c r="AB13" s="16"/>
      <c r="AC13" s="16"/>
      <c r="AD13" s="16"/>
      <c r="AE13" s="16"/>
      <c r="AF13" s="16"/>
      <c r="AG13" s="16"/>
    </row>
    <row r="14" spans="1:36" ht="22.5" customHeight="1">
      <c r="A14" s="32">
        <v>30</v>
      </c>
      <c r="B14" s="16"/>
      <c r="C14" s="16"/>
      <c r="D14" s="16"/>
      <c r="E14" s="16"/>
      <c r="F14" s="16"/>
      <c r="G14" s="16"/>
      <c r="I14" s="16"/>
      <c r="J14" s="26"/>
      <c r="K14" s="16"/>
      <c r="L14" s="77" t="str">
        <f>TT!$O$37</f>
        <v>Metacarpals</v>
      </c>
      <c r="M14" s="77"/>
      <c r="N14" s="16"/>
      <c r="P14" s="16"/>
      <c r="Q14" s="16"/>
      <c r="R14" s="16"/>
      <c r="S14" s="16"/>
      <c r="T14" s="16"/>
      <c r="U14" s="16"/>
      <c r="V14" s="16"/>
      <c r="W14" s="16"/>
      <c r="X14" s="16"/>
      <c r="Y14" s="16"/>
      <c r="Z14" s="16"/>
      <c r="AA14" s="16"/>
      <c r="AB14" s="16"/>
      <c r="AC14" s="16"/>
      <c r="AD14" s="16"/>
      <c r="AE14" s="16"/>
      <c r="AF14" s="16"/>
      <c r="AG14" s="16"/>
    </row>
    <row r="15" spans="1:36" ht="22.5" customHeight="1">
      <c r="A15" s="32">
        <v>30</v>
      </c>
      <c r="B15" s="16"/>
      <c r="C15" s="16"/>
      <c r="D15" s="16"/>
      <c r="E15" s="16"/>
      <c r="F15" s="16"/>
      <c r="G15" s="16"/>
      <c r="I15" s="16"/>
      <c r="J15" s="26"/>
      <c r="K15" s="16"/>
      <c r="L15" s="77"/>
      <c r="M15" s="77"/>
      <c r="N15" s="16"/>
      <c r="P15" s="16"/>
      <c r="Q15" s="16"/>
      <c r="R15" s="16"/>
      <c r="S15" s="16"/>
      <c r="T15" s="16"/>
      <c r="U15" s="16"/>
      <c r="V15" s="16"/>
      <c r="W15" s="16"/>
      <c r="X15" s="16"/>
      <c r="Y15" s="16"/>
      <c r="Z15" s="16"/>
      <c r="AA15" s="16"/>
      <c r="AB15" s="16"/>
      <c r="AC15" s="16"/>
      <c r="AD15" s="16"/>
      <c r="AE15" s="16"/>
      <c r="AF15" s="16"/>
      <c r="AG15" s="16"/>
    </row>
    <row r="16" spans="1:36" ht="18.75" customHeight="1">
      <c r="A16" s="32">
        <v>25</v>
      </c>
      <c r="B16" s="16"/>
      <c r="C16" s="16"/>
      <c r="D16" s="16"/>
      <c r="E16" s="16"/>
      <c r="F16" s="16"/>
      <c r="G16" s="16"/>
      <c r="I16" s="16"/>
      <c r="J16" s="16"/>
      <c r="K16" s="16"/>
      <c r="L16" s="16"/>
      <c r="M16" s="16"/>
      <c r="N16" s="16"/>
      <c r="P16" s="16"/>
      <c r="Q16" s="16"/>
      <c r="R16" s="16"/>
      <c r="S16" s="16"/>
      <c r="T16" s="16"/>
      <c r="U16" s="16"/>
      <c r="V16" s="16"/>
      <c r="W16" s="16"/>
      <c r="X16" s="16"/>
      <c r="Y16" s="16"/>
      <c r="Z16" s="16"/>
      <c r="AA16" s="16"/>
      <c r="AB16" s="16"/>
      <c r="AC16" s="16"/>
      <c r="AD16" s="16"/>
      <c r="AE16" s="16"/>
      <c r="AF16" s="16"/>
      <c r="AG16" s="16"/>
    </row>
    <row r="17" spans="1:33" ht="11.25" customHeight="1">
      <c r="A17" s="32">
        <v>15</v>
      </c>
      <c r="B17" s="16"/>
      <c r="C17" s="16"/>
      <c r="D17" s="16"/>
      <c r="E17" s="16"/>
      <c r="F17" s="16"/>
      <c r="G17" s="16"/>
      <c r="P17" s="16"/>
      <c r="Q17" s="16"/>
      <c r="R17" s="16"/>
      <c r="S17" s="16"/>
      <c r="T17" s="16"/>
      <c r="U17" s="16"/>
      <c r="V17" s="16"/>
      <c r="W17" s="16"/>
      <c r="X17" s="16"/>
      <c r="Y17" s="16"/>
      <c r="Z17" s="16"/>
      <c r="AA17" s="16"/>
      <c r="AB17" s="16"/>
      <c r="AC17" s="16"/>
      <c r="AD17" s="16"/>
      <c r="AE17" s="16"/>
      <c r="AF17" s="16"/>
      <c r="AG17" s="16"/>
    </row>
    <row r="18" spans="1:33" ht="18.75" customHeight="1">
      <c r="A18" s="32">
        <v>25</v>
      </c>
      <c r="B18" s="16"/>
      <c r="C18" s="16"/>
      <c r="D18" s="16"/>
      <c r="E18" s="16"/>
      <c r="F18" s="16"/>
      <c r="G18" s="16"/>
      <c r="I18" s="16"/>
      <c r="J18" s="16"/>
      <c r="K18" s="16"/>
      <c r="L18" s="16"/>
      <c r="M18" s="16"/>
      <c r="N18" s="16"/>
      <c r="P18" s="16"/>
      <c r="Q18" s="16"/>
      <c r="R18" s="16"/>
      <c r="S18" s="16"/>
      <c r="T18" s="16"/>
      <c r="U18" s="16"/>
      <c r="V18" s="16"/>
      <c r="W18" s="16"/>
      <c r="X18" s="16"/>
      <c r="Y18" s="16"/>
      <c r="Z18" s="16"/>
      <c r="AA18" s="16"/>
      <c r="AB18" s="16"/>
      <c r="AC18" s="16"/>
      <c r="AD18" s="16"/>
      <c r="AE18" s="16"/>
      <c r="AF18" s="16"/>
      <c r="AG18" s="16"/>
    </row>
    <row r="19" spans="1:33" ht="18.75" customHeight="1">
      <c r="A19" s="32">
        <v>25</v>
      </c>
      <c r="B19" s="16"/>
      <c r="C19" s="16"/>
      <c r="D19" s="16"/>
      <c r="E19" s="16"/>
      <c r="F19" s="16"/>
      <c r="G19" s="16"/>
      <c r="I19" s="16"/>
      <c r="J19" s="110" t="str">
        <f>TT!$O$32</f>
        <v>100% = Full Flexion</v>
      </c>
      <c r="K19" s="110"/>
      <c r="L19" s="110"/>
      <c r="M19" s="110"/>
      <c r="N19" s="16"/>
      <c r="P19" s="16"/>
      <c r="Q19" s="16"/>
      <c r="R19" s="78">
        <f>Backend!$AT$3</f>
        <v>0</v>
      </c>
      <c r="S19" s="78"/>
      <c r="T19" s="78"/>
      <c r="U19" s="78">
        <f>Backend!$AT$4</f>
        <v>0</v>
      </c>
      <c r="V19" s="78"/>
      <c r="W19" s="78"/>
      <c r="X19" s="78">
        <f>Backend!$AT$5</f>
        <v>0</v>
      </c>
      <c r="Y19" s="78"/>
      <c r="Z19" s="78"/>
      <c r="AA19" s="78">
        <f>Backend!$AT$6</f>
        <v>0</v>
      </c>
      <c r="AB19" s="78"/>
      <c r="AC19" s="78"/>
      <c r="AD19" s="78">
        <f>Backend!$AT$7</f>
        <v>0</v>
      </c>
      <c r="AE19" s="78"/>
      <c r="AF19" s="78"/>
      <c r="AG19" s="16"/>
    </row>
    <row r="20" spans="1:33" ht="18.75" customHeight="1">
      <c r="A20" s="32">
        <v>25</v>
      </c>
      <c r="B20" s="16"/>
      <c r="C20" s="16"/>
      <c r="D20" s="16"/>
      <c r="E20" s="16"/>
      <c r="F20" s="16"/>
      <c r="G20" s="16"/>
      <c r="I20" s="16"/>
      <c r="J20" s="110" t="str">
        <f>TT!$O$33</f>
        <v>0% = Full Extension</v>
      </c>
      <c r="K20" s="110"/>
      <c r="L20" s="110"/>
      <c r="M20" s="110"/>
      <c r="N20" s="16"/>
      <c r="P20" s="16"/>
      <c r="Q20" s="16"/>
      <c r="R20" s="78"/>
      <c r="S20" s="78"/>
      <c r="T20" s="78"/>
      <c r="U20" s="78"/>
      <c r="V20" s="78"/>
      <c r="W20" s="78"/>
      <c r="X20" s="78"/>
      <c r="Y20" s="78"/>
      <c r="Z20" s="78"/>
      <c r="AA20" s="78"/>
      <c r="AB20" s="78"/>
      <c r="AC20" s="78"/>
      <c r="AD20" s="78"/>
      <c r="AE20" s="78"/>
      <c r="AF20" s="78"/>
      <c r="AG20" s="16"/>
    </row>
    <row r="21" spans="1:33" ht="15" customHeight="1">
      <c r="A21" s="32">
        <v>20</v>
      </c>
      <c r="B21" s="16"/>
      <c r="C21" s="16"/>
      <c r="D21" s="16"/>
      <c r="E21" s="16"/>
      <c r="F21" s="16"/>
      <c r="G21" s="16"/>
      <c r="I21" s="16"/>
      <c r="J21" s="16"/>
      <c r="K21" s="16"/>
      <c r="L21" s="16"/>
      <c r="M21" s="16"/>
      <c r="N21" s="16"/>
      <c r="P21" s="16"/>
      <c r="Q21" s="16"/>
      <c r="R21" s="16"/>
      <c r="S21" s="16"/>
      <c r="T21" s="16"/>
      <c r="U21" s="16"/>
      <c r="V21" s="16"/>
      <c r="W21" s="16"/>
      <c r="X21" s="16"/>
      <c r="Y21" s="16"/>
      <c r="Z21" s="16"/>
      <c r="AA21" s="16"/>
      <c r="AB21" s="16"/>
      <c r="AC21" s="16"/>
      <c r="AD21" s="16"/>
      <c r="AE21" s="16"/>
      <c r="AF21" s="16"/>
      <c r="AG21" s="16"/>
    </row>
  </sheetData>
  <sheetProtection sheet="1" objects="1" scenarios="1"/>
  <mergeCells count="13">
    <mergeCell ref="Q2:AF2"/>
    <mergeCell ref="R19:T20"/>
    <mergeCell ref="U19:W20"/>
    <mergeCell ref="X19:Z20"/>
    <mergeCell ref="AA19:AC20"/>
    <mergeCell ref="AD19:AF20"/>
    <mergeCell ref="J2:M2"/>
    <mergeCell ref="J19:M19"/>
    <mergeCell ref="J20:M20"/>
    <mergeCell ref="L5:M6"/>
    <mergeCell ref="L8:M9"/>
    <mergeCell ref="L11:M12"/>
    <mergeCell ref="L14:M1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C07DB-D202-44AC-94F5-1A1E38EF1E93}">
  <sheetPr codeName="Sheet7"/>
  <dimension ref="A1:AR22"/>
  <sheetViews>
    <sheetView showGridLines="0" zoomScale="137" zoomScaleNormal="137" workbookViewId="0"/>
  </sheetViews>
  <sheetFormatPr defaultColWidth="7.5" defaultRowHeight="22.5" customHeight="1"/>
  <cols>
    <col min="1" max="1" width="3.75" style="32" customWidth="1"/>
    <col min="2" max="2" width="2.5" style="17" customWidth="1"/>
    <col min="3" max="3" width="7.5" style="17" customWidth="1"/>
    <col min="4" max="5" width="2.5" style="17" customWidth="1"/>
    <col min="6" max="7" width="3.75" style="17" customWidth="1"/>
    <col min="8" max="9" width="2.5" style="17" customWidth="1"/>
    <col min="10" max="10" width="7.5" style="17" customWidth="1"/>
    <col min="11" max="12" width="2.5" style="17" customWidth="1"/>
    <col min="13" max="13" width="7.5" style="17" customWidth="1"/>
    <col min="14" max="15" width="2.5" style="17" customWidth="1"/>
    <col min="16" max="16" width="7.5" style="17" customWidth="1"/>
    <col min="17" max="17" width="2.5" style="17" customWidth="1"/>
    <col min="18" max="18" width="1.875" style="17" customWidth="1"/>
    <col min="19" max="19" width="2.5" style="17" customWidth="1"/>
    <col min="20" max="20" width="7.5" style="17" customWidth="1"/>
    <col min="21" max="22" width="3.75" style="17" customWidth="1"/>
    <col min="23" max="23" width="7.5" style="17" customWidth="1"/>
    <col min="24" max="24" width="2.5" style="17" customWidth="1"/>
    <col min="25" max="25" width="1.875" style="17" customWidth="1"/>
    <col min="26" max="26" width="2.5" style="17" customWidth="1"/>
    <col min="27" max="27" width="7.5" style="17" customWidth="1"/>
    <col min="28" max="29" width="2.5" style="17" customWidth="1"/>
    <col min="30" max="31" width="3.75" style="17" customWidth="1"/>
    <col min="32" max="33" width="2.5" style="17" customWidth="1"/>
    <col min="34" max="34" width="7.5" style="17" customWidth="1"/>
    <col min="35" max="36" width="2.5" style="17" customWidth="1"/>
    <col min="37" max="37" width="7.5" style="17" customWidth="1"/>
    <col min="38" max="39" width="2.5" style="17" customWidth="1"/>
    <col min="40" max="40" width="7.5" style="17" customWidth="1"/>
    <col min="41" max="41" width="2.5" style="17" customWidth="1"/>
    <col min="42" max="16384" width="7.5" style="17"/>
  </cols>
  <sheetData>
    <row r="1" spans="1:44" s="30" customFormat="1" ht="22.5" customHeight="1">
      <c r="A1" s="30">
        <v>30</v>
      </c>
      <c r="B1" s="30">
        <v>20</v>
      </c>
      <c r="C1" s="30">
        <v>60</v>
      </c>
      <c r="D1" s="30">
        <v>20</v>
      </c>
      <c r="E1" s="30">
        <v>20</v>
      </c>
      <c r="F1" s="30">
        <v>30</v>
      </c>
      <c r="G1" s="30">
        <v>30</v>
      </c>
      <c r="H1" s="30">
        <v>20</v>
      </c>
      <c r="I1" s="30">
        <v>20</v>
      </c>
      <c r="J1" s="30">
        <v>60</v>
      </c>
      <c r="K1" s="30">
        <v>20</v>
      </c>
      <c r="L1" s="30">
        <v>20</v>
      </c>
      <c r="M1" s="30">
        <v>60</v>
      </c>
      <c r="N1" s="30">
        <v>20</v>
      </c>
      <c r="O1" s="30">
        <v>20</v>
      </c>
      <c r="P1" s="30">
        <v>60</v>
      </c>
      <c r="Q1" s="30">
        <v>20</v>
      </c>
      <c r="R1" s="30">
        <v>15</v>
      </c>
      <c r="S1" s="30">
        <v>20</v>
      </c>
      <c r="T1" s="30">
        <v>60</v>
      </c>
      <c r="U1" s="30">
        <v>30</v>
      </c>
      <c r="V1" s="30">
        <v>30</v>
      </c>
      <c r="W1" s="30">
        <v>60</v>
      </c>
      <c r="X1" s="30">
        <v>20</v>
      </c>
      <c r="Y1" s="30">
        <v>15</v>
      </c>
      <c r="Z1" s="30">
        <v>20</v>
      </c>
      <c r="AA1" s="30">
        <v>60</v>
      </c>
      <c r="AB1" s="30">
        <v>20</v>
      </c>
      <c r="AC1" s="30">
        <v>20</v>
      </c>
      <c r="AD1" s="30">
        <v>30</v>
      </c>
      <c r="AE1" s="30">
        <v>30</v>
      </c>
      <c r="AF1" s="30">
        <v>20</v>
      </c>
      <c r="AG1" s="30">
        <v>20</v>
      </c>
      <c r="AH1" s="30">
        <v>60</v>
      </c>
      <c r="AI1" s="30">
        <v>20</v>
      </c>
      <c r="AJ1" s="30">
        <v>20</v>
      </c>
      <c r="AK1" s="30">
        <v>60</v>
      </c>
      <c r="AL1" s="30">
        <v>20</v>
      </c>
      <c r="AM1" s="30">
        <v>20</v>
      </c>
      <c r="AN1" s="30">
        <v>60</v>
      </c>
      <c r="AO1" s="30">
        <v>20</v>
      </c>
    </row>
    <row r="2" spans="1:44" s="22" customFormat="1" ht="26.25" customHeight="1" thickBot="1">
      <c r="A2" s="32">
        <v>35</v>
      </c>
      <c r="B2" s="23"/>
      <c r="C2" s="90" t="str">
        <f>TT!$O$38</f>
        <v>You</v>
      </c>
      <c r="D2" s="90"/>
      <c r="E2" s="90"/>
      <c r="F2" s="90"/>
      <c r="G2" s="90"/>
      <c r="H2" s="90"/>
      <c r="I2" s="90"/>
      <c r="J2" s="90"/>
      <c r="K2" s="90"/>
      <c r="L2" s="90"/>
      <c r="M2" s="90"/>
      <c r="N2" s="90"/>
      <c r="O2" s="90"/>
      <c r="P2" s="90"/>
      <c r="Q2" s="23"/>
      <c r="S2" s="16"/>
      <c r="T2" s="16"/>
      <c r="U2" s="16"/>
      <c r="V2" s="16"/>
      <c r="W2" s="16"/>
      <c r="X2" s="16"/>
      <c r="Z2" s="21"/>
      <c r="AA2" s="82" t="str">
        <f>TT!$O$39</f>
        <v>Excel</v>
      </c>
      <c r="AB2" s="82"/>
      <c r="AC2" s="82"/>
      <c r="AD2" s="82"/>
      <c r="AE2" s="82"/>
      <c r="AF2" s="82"/>
      <c r="AG2" s="82"/>
      <c r="AH2" s="82"/>
      <c r="AI2" s="82"/>
      <c r="AJ2" s="82"/>
      <c r="AK2" s="82"/>
      <c r="AL2" s="82"/>
      <c r="AM2" s="82"/>
      <c r="AN2" s="82"/>
      <c r="AO2" s="21"/>
      <c r="AQ2" s="31">
        <f>SUM(1:1)</f>
        <v>1280</v>
      </c>
      <c r="AR2" s="31">
        <v>1280</v>
      </c>
    </row>
    <row r="3" spans="1:44" ht="15" customHeight="1">
      <c r="A3" s="32">
        <v>20</v>
      </c>
      <c r="B3" s="16"/>
      <c r="C3" s="16"/>
      <c r="D3" s="16"/>
      <c r="E3" s="16"/>
      <c r="F3" s="16"/>
      <c r="G3" s="16"/>
      <c r="H3" s="16"/>
      <c r="I3" s="16"/>
      <c r="J3" s="16"/>
      <c r="K3" s="16"/>
      <c r="L3" s="16"/>
      <c r="M3" s="16"/>
      <c r="N3" s="16"/>
      <c r="O3" s="16"/>
      <c r="P3" s="16"/>
      <c r="Q3" s="16"/>
      <c r="S3" s="16"/>
      <c r="T3" s="16"/>
      <c r="U3" s="16"/>
      <c r="V3" s="16"/>
      <c r="W3" s="16"/>
      <c r="X3" s="16"/>
      <c r="Z3" s="16"/>
      <c r="AA3" s="16"/>
      <c r="AB3" s="16"/>
      <c r="AC3" s="16"/>
      <c r="AD3" s="16"/>
      <c r="AE3" s="16"/>
      <c r="AF3" s="16"/>
      <c r="AG3" s="16"/>
      <c r="AH3" s="16"/>
      <c r="AI3" s="16"/>
      <c r="AJ3" s="16"/>
      <c r="AK3" s="16"/>
      <c r="AL3" s="16"/>
      <c r="AM3" s="16"/>
      <c r="AN3" s="16"/>
      <c r="AO3" s="16"/>
      <c r="AQ3" s="32">
        <f>SUM(A:A)</f>
        <v>545</v>
      </c>
      <c r="AR3" s="32">
        <v>545</v>
      </c>
    </row>
    <row r="4" spans="1:44" ht="15" customHeight="1">
      <c r="A4" s="32">
        <v>20</v>
      </c>
      <c r="B4" s="16"/>
      <c r="C4" s="16"/>
      <c r="D4" s="16"/>
      <c r="E4" s="16"/>
      <c r="F4" s="16"/>
      <c r="G4" s="16"/>
      <c r="H4" s="16"/>
      <c r="I4" s="16"/>
      <c r="J4" s="16"/>
      <c r="K4" s="16"/>
      <c r="L4" s="16"/>
      <c r="M4" s="16"/>
      <c r="N4" s="16"/>
      <c r="O4" s="16"/>
      <c r="P4" s="16"/>
      <c r="Q4" s="16"/>
      <c r="S4" s="16"/>
      <c r="T4" s="86" t="str">
        <f>MatchText</f>
        <v>Start New Match </v>
      </c>
      <c r="U4" s="86"/>
      <c r="V4" s="86"/>
      <c r="W4" s="86"/>
      <c r="X4" s="16"/>
      <c r="Z4" s="16"/>
      <c r="AA4" s="16"/>
      <c r="AB4" s="16"/>
      <c r="AC4" s="16"/>
      <c r="AD4" s="16"/>
      <c r="AE4" s="16"/>
      <c r="AF4" s="16"/>
      <c r="AG4" s="16"/>
      <c r="AH4" s="16"/>
      <c r="AI4" s="16"/>
      <c r="AJ4" s="16"/>
      <c r="AK4" s="16"/>
      <c r="AL4" s="16"/>
      <c r="AM4" s="16"/>
      <c r="AN4" s="16"/>
      <c r="AO4" s="16"/>
      <c r="AQ4" s="32"/>
      <c r="AR4" s="32"/>
    </row>
    <row r="5" spans="1:44" ht="22.5" customHeight="1">
      <c r="A5" s="32">
        <v>30</v>
      </c>
      <c r="B5" s="16"/>
      <c r="C5" s="16"/>
      <c r="D5" s="16"/>
      <c r="E5" s="16"/>
      <c r="F5" s="16"/>
      <c r="G5" s="16"/>
      <c r="H5" s="16"/>
      <c r="I5" s="16"/>
      <c r="J5" s="16"/>
      <c r="K5" s="16"/>
      <c r="L5" s="16"/>
      <c r="M5" s="16"/>
      <c r="N5" s="16"/>
      <c r="O5" s="16"/>
      <c r="P5" s="16"/>
      <c r="Q5" s="16"/>
      <c r="S5" s="16"/>
      <c r="T5" s="86"/>
      <c r="U5" s="86"/>
      <c r="V5" s="86"/>
      <c r="W5" s="86"/>
      <c r="X5" s="16"/>
      <c r="Z5" s="16"/>
      <c r="AA5" s="16"/>
      <c r="AB5" s="16"/>
      <c r="AC5" s="16"/>
      <c r="AD5" s="16"/>
      <c r="AE5" s="16"/>
      <c r="AF5" s="16"/>
      <c r="AG5" s="16"/>
      <c r="AH5" s="16"/>
      <c r="AI5" s="16"/>
      <c r="AJ5" s="16"/>
      <c r="AK5" s="16"/>
      <c r="AL5" s="16"/>
      <c r="AM5" s="16"/>
      <c r="AN5" s="16"/>
      <c r="AO5" s="16"/>
    </row>
    <row r="6" spans="1:44" ht="22.5" customHeight="1">
      <c r="A6" s="32">
        <v>30</v>
      </c>
      <c r="B6" s="16"/>
      <c r="C6" s="16"/>
      <c r="D6" s="16"/>
      <c r="E6" s="16"/>
      <c r="F6" s="16"/>
      <c r="G6" s="16"/>
      <c r="H6" s="16"/>
      <c r="I6" s="16"/>
      <c r="J6" s="16"/>
      <c r="K6" s="16"/>
      <c r="L6" s="16"/>
      <c r="M6" s="16"/>
      <c r="N6" s="16"/>
      <c r="O6" s="16"/>
      <c r="P6" s="16"/>
      <c r="Q6" s="16"/>
      <c r="S6" s="16"/>
      <c r="T6" s="16"/>
      <c r="U6" s="16"/>
      <c r="V6" s="16"/>
      <c r="W6" s="16"/>
      <c r="X6" s="16"/>
      <c r="Z6" s="16"/>
      <c r="AA6" s="16"/>
      <c r="AB6" s="16"/>
      <c r="AC6" s="16"/>
      <c r="AD6" s="16"/>
      <c r="AE6" s="16"/>
      <c r="AF6" s="16"/>
      <c r="AG6" s="16"/>
      <c r="AH6" s="16"/>
      <c r="AI6" s="16"/>
      <c r="AJ6" s="16"/>
      <c r="AK6" s="16"/>
      <c r="AL6" s="16"/>
      <c r="AM6" s="16"/>
      <c r="AN6" s="16"/>
      <c r="AO6" s="16"/>
    </row>
    <row r="7" spans="1:44" ht="22.5" customHeight="1">
      <c r="A7" s="32">
        <v>30</v>
      </c>
      <c r="B7" s="16"/>
      <c r="C7" s="16"/>
      <c r="D7" s="16"/>
      <c r="E7" s="16"/>
      <c r="F7" s="16"/>
      <c r="G7" s="16"/>
      <c r="H7" s="16"/>
      <c r="I7" s="16"/>
      <c r="J7" s="16"/>
      <c r="K7" s="16"/>
      <c r="L7" s="16"/>
      <c r="M7" s="16"/>
      <c r="N7" s="16"/>
      <c r="O7" s="16"/>
      <c r="P7" s="16"/>
      <c r="Q7" s="16"/>
      <c r="S7" s="16"/>
      <c r="T7" s="87" t="str">
        <f>MatchText2</f>
        <v/>
      </c>
      <c r="U7" s="87"/>
      <c r="V7" s="87"/>
      <c r="W7" s="87"/>
      <c r="X7" s="16"/>
      <c r="Z7" s="16"/>
      <c r="AA7" s="16"/>
      <c r="AB7" s="16"/>
      <c r="AC7" s="16"/>
      <c r="AD7" s="16"/>
      <c r="AE7" s="16"/>
      <c r="AF7" s="16"/>
      <c r="AG7" s="16"/>
      <c r="AH7" s="16"/>
      <c r="AI7" s="16"/>
      <c r="AJ7" s="16"/>
      <c r="AK7" s="16"/>
      <c r="AL7" s="16"/>
      <c r="AM7" s="16"/>
      <c r="AN7" s="16"/>
      <c r="AO7" s="16"/>
    </row>
    <row r="8" spans="1:44" ht="15" customHeight="1">
      <c r="A8" s="32">
        <v>20</v>
      </c>
      <c r="B8" s="16"/>
      <c r="C8" s="16"/>
      <c r="D8" s="16"/>
      <c r="E8" s="16"/>
      <c r="F8" s="16"/>
      <c r="G8" s="16"/>
      <c r="H8" s="16"/>
      <c r="I8" s="16"/>
      <c r="J8" s="16"/>
      <c r="K8" s="16"/>
      <c r="L8" s="16"/>
      <c r="M8" s="16"/>
      <c r="N8" s="16"/>
      <c r="O8" s="16"/>
      <c r="P8" s="16"/>
      <c r="Q8" s="16"/>
      <c r="S8" s="16"/>
      <c r="T8" s="87"/>
      <c r="U8" s="87"/>
      <c r="V8" s="87"/>
      <c r="W8" s="87"/>
      <c r="X8" s="16"/>
      <c r="Z8" s="16"/>
      <c r="AA8" s="16"/>
      <c r="AB8" s="16"/>
      <c r="AC8" s="16"/>
      <c r="AD8" s="16"/>
      <c r="AE8" s="16"/>
      <c r="AF8" s="16"/>
      <c r="AG8" s="16"/>
      <c r="AH8" s="16"/>
      <c r="AI8" s="16"/>
      <c r="AJ8" s="16"/>
      <c r="AK8" s="16"/>
      <c r="AL8" s="16"/>
      <c r="AM8" s="16"/>
      <c r="AN8" s="16"/>
      <c r="AO8" s="16"/>
    </row>
    <row r="9" spans="1:44" ht="22.5" customHeight="1">
      <c r="A9" s="32">
        <v>30</v>
      </c>
      <c r="B9" s="16"/>
      <c r="C9" s="16"/>
      <c r="D9" s="16"/>
      <c r="E9" s="16"/>
      <c r="F9" s="16"/>
      <c r="G9" s="16"/>
      <c r="H9" s="16"/>
      <c r="I9" s="16"/>
      <c r="J9" s="16"/>
      <c r="K9" s="16"/>
      <c r="L9" s="16"/>
      <c r="M9" s="16"/>
      <c r="N9" s="16"/>
      <c r="O9" s="16"/>
      <c r="P9" s="16"/>
      <c r="Q9" s="16"/>
      <c r="S9" s="16"/>
      <c r="T9" s="87"/>
      <c r="U9" s="87"/>
      <c r="V9" s="87"/>
      <c r="W9" s="87"/>
      <c r="X9" s="16"/>
      <c r="Z9" s="16"/>
      <c r="AA9" s="16"/>
      <c r="AB9" s="16"/>
      <c r="AC9" s="16"/>
      <c r="AD9" s="16"/>
      <c r="AE9" s="16"/>
      <c r="AF9" s="16"/>
      <c r="AG9" s="16"/>
      <c r="AH9" s="16"/>
      <c r="AI9" s="16"/>
      <c r="AJ9" s="16"/>
      <c r="AK9" s="16"/>
      <c r="AL9" s="16"/>
      <c r="AM9" s="16"/>
      <c r="AN9" s="16"/>
      <c r="AO9" s="16"/>
    </row>
    <row r="10" spans="1:44" ht="22.5" customHeight="1">
      <c r="A10" s="32">
        <v>30</v>
      </c>
      <c r="B10" s="16"/>
      <c r="C10" s="16"/>
      <c r="D10" s="16"/>
      <c r="E10" s="16"/>
      <c r="F10" s="16"/>
      <c r="G10" s="16"/>
      <c r="H10" s="16"/>
      <c r="I10" s="16"/>
      <c r="J10" s="16"/>
      <c r="K10" s="16"/>
      <c r="L10" s="16"/>
      <c r="M10" s="16"/>
      <c r="N10" s="16"/>
      <c r="O10" s="16"/>
      <c r="P10" s="16"/>
      <c r="Q10" s="16"/>
      <c r="S10" s="16"/>
      <c r="T10" s="16"/>
      <c r="U10" s="16"/>
      <c r="V10" s="16"/>
      <c r="W10" s="16"/>
      <c r="X10" s="16"/>
      <c r="Z10" s="16"/>
      <c r="AA10" s="16"/>
      <c r="AB10" s="16"/>
      <c r="AC10" s="16"/>
      <c r="AD10" s="16"/>
      <c r="AE10" s="16"/>
      <c r="AF10" s="16"/>
      <c r="AG10" s="16"/>
      <c r="AH10" s="16"/>
      <c r="AI10" s="16"/>
      <c r="AJ10" s="16"/>
      <c r="AK10" s="16"/>
      <c r="AL10" s="16"/>
      <c r="AM10" s="16"/>
      <c r="AN10" s="16"/>
      <c r="AO10" s="16"/>
    </row>
    <row r="11" spans="1:44" ht="22.5" customHeight="1">
      <c r="A11" s="32">
        <v>30</v>
      </c>
      <c r="B11" s="16"/>
      <c r="C11" s="16"/>
      <c r="D11" s="16"/>
      <c r="E11" s="16"/>
      <c r="F11" s="16"/>
      <c r="G11" s="16"/>
      <c r="H11" s="16"/>
      <c r="I11" s="16"/>
      <c r="J11" s="16"/>
      <c r="K11" s="16"/>
      <c r="L11" s="16"/>
      <c r="M11" s="16"/>
      <c r="N11" s="16"/>
      <c r="O11" s="16"/>
      <c r="P11" s="16"/>
      <c r="Q11" s="16"/>
      <c r="S11" s="16"/>
      <c r="T11" s="16"/>
      <c r="U11" s="16"/>
      <c r="V11" s="16"/>
      <c r="W11" s="16"/>
      <c r="X11" s="16"/>
      <c r="Z11" s="16"/>
      <c r="AA11" s="16"/>
      <c r="AB11" s="16"/>
      <c r="AC11" s="16"/>
      <c r="AD11" s="16"/>
      <c r="AE11" s="16"/>
      <c r="AF11" s="16"/>
      <c r="AG11" s="16"/>
      <c r="AH11" s="16"/>
      <c r="AI11" s="16"/>
      <c r="AJ11" s="16"/>
      <c r="AK11" s="16"/>
      <c r="AL11" s="16"/>
      <c r="AM11" s="16"/>
      <c r="AN11" s="16"/>
      <c r="AO11" s="16"/>
    </row>
    <row r="12" spans="1:44" ht="15" customHeight="1">
      <c r="A12" s="32">
        <v>20</v>
      </c>
      <c r="B12" s="16"/>
      <c r="C12" s="16"/>
      <c r="D12" s="16"/>
      <c r="E12" s="16"/>
      <c r="F12" s="16"/>
      <c r="G12" s="16"/>
      <c r="H12" s="16"/>
      <c r="I12" s="16"/>
      <c r="J12" s="16"/>
      <c r="K12" s="16"/>
      <c r="L12" s="16"/>
      <c r="M12" s="16"/>
      <c r="N12" s="16"/>
      <c r="O12" s="16"/>
      <c r="P12" s="16"/>
      <c r="Q12" s="16"/>
      <c r="S12" s="16"/>
      <c r="T12" s="91" t="str">
        <f>WinnerText</f>
        <v/>
      </c>
      <c r="U12" s="91"/>
      <c r="V12" s="91"/>
      <c r="W12" s="91"/>
      <c r="X12" s="16"/>
      <c r="Z12" s="16"/>
      <c r="AA12" s="16"/>
      <c r="AB12" s="16"/>
      <c r="AC12" s="16"/>
      <c r="AD12" s="16"/>
      <c r="AE12" s="16"/>
      <c r="AF12" s="16"/>
      <c r="AG12" s="16"/>
      <c r="AH12" s="16"/>
      <c r="AI12" s="16"/>
      <c r="AJ12" s="16"/>
      <c r="AK12" s="16"/>
      <c r="AL12" s="16"/>
      <c r="AM12" s="16"/>
      <c r="AN12" s="16"/>
      <c r="AO12" s="16"/>
    </row>
    <row r="13" spans="1:44" ht="15" customHeight="1">
      <c r="A13" s="32">
        <v>20</v>
      </c>
      <c r="B13" s="16"/>
      <c r="C13" s="16"/>
      <c r="D13" s="16"/>
      <c r="E13" s="16"/>
      <c r="F13" s="16"/>
      <c r="G13" s="16"/>
      <c r="H13" s="16"/>
      <c r="I13" s="16"/>
      <c r="J13" s="16"/>
      <c r="K13" s="16"/>
      <c r="L13" s="16"/>
      <c r="M13" s="16"/>
      <c r="N13" s="16"/>
      <c r="O13" s="16"/>
      <c r="P13" s="16"/>
      <c r="Q13" s="16"/>
      <c r="S13" s="16"/>
      <c r="T13" s="91"/>
      <c r="U13" s="91"/>
      <c r="V13" s="91"/>
      <c r="W13" s="91"/>
      <c r="X13" s="16"/>
      <c r="Z13" s="16"/>
      <c r="AA13" s="16"/>
      <c r="AB13" s="16"/>
      <c r="AC13" s="16"/>
      <c r="AD13" s="16"/>
      <c r="AE13" s="16"/>
      <c r="AF13" s="16"/>
      <c r="AG13" s="16"/>
      <c r="AH13" s="16"/>
      <c r="AI13" s="16"/>
      <c r="AJ13" s="16"/>
      <c r="AK13" s="16"/>
      <c r="AL13" s="16"/>
      <c r="AM13" s="16"/>
      <c r="AN13" s="16"/>
      <c r="AO13" s="16"/>
    </row>
    <row r="14" spans="1:44" ht="11.25" customHeight="1">
      <c r="A14" s="32">
        <v>15</v>
      </c>
      <c r="S14" s="16"/>
      <c r="T14" s="16"/>
      <c r="U14" s="16"/>
      <c r="V14" s="16"/>
      <c r="W14" s="16"/>
      <c r="X14" s="16"/>
    </row>
    <row r="15" spans="1:44" ht="15" customHeight="1">
      <c r="A15" s="32">
        <v>20</v>
      </c>
      <c r="B15" s="16"/>
      <c r="C15" s="16"/>
      <c r="D15" s="16"/>
      <c r="E15" s="16"/>
      <c r="F15" s="16"/>
      <c r="G15" s="16"/>
      <c r="H15" s="16"/>
      <c r="I15" s="16"/>
      <c r="J15" s="16"/>
      <c r="K15" s="16"/>
      <c r="L15" s="16"/>
      <c r="M15" s="16"/>
      <c r="N15" s="16"/>
      <c r="O15" s="16"/>
      <c r="P15" s="16"/>
      <c r="Q15" s="16"/>
      <c r="S15" s="16"/>
      <c r="T15" s="92" t="str">
        <f>TT!$O$38</f>
        <v>You</v>
      </c>
      <c r="U15" s="93"/>
      <c r="V15" s="96" t="str">
        <f>TT!$O$39</f>
        <v>Excel</v>
      </c>
      <c r="W15" s="97"/>
      <c r="X15" s="16"/>
      <c r="Z15" s="16"/>
      <c r="AA15" s="16"/>
      <c r="AB15" s="16"/>
      <c r="AC15" s="16"/>
      <c r="AD15" s="16"/>
      <c r="AE15" s="16"/>
      <c r="AF15" s="16"/>
      <c r="AG15" s="16"/>
      <c r="AH15" s="16"/>
      <c r="AI15" s="16"/>
      <c r="AJ15" s="16"/>
      <c r="AK15" s="16"/>
      <c r="AL15" s="16"/>
      <c r="AM15" s="16"/>
      <c r="AN15" s="16"/>
      <c r="AO15" s="16"/>
    </row>
    <row r="16" spans="1:44" ht="15" customHeight="1">
      <c r="A16" s="32">
        <v>20</v>
      </c>
      <c r="B16" s="33"/>
      <c r="C16" s="36" t="s">
        <v>681</v>
      </c>
      <c r="D16" s="37"/>
      <c r="E16" s="35"/>
      <c r="F16" s="83" t="s">
        <v>682</v>
      </c>
      <c r="G16" s="83"/>
      <c r="H16" s="37"/>
      <c r="I16" s="35"/>
      <c r="J16" s="35" t="s">
        <v>683</v>
      </c>
      <c r="K16" s="37"/>
      <c r="L16" s="35"/>
      <c r="M16" s="35" t="s">
        <v>684</v>
      </c>
      <c r="N16" s="37"/>
      <c r="O16" s="35"/>
      <c r="P16" s="35" t="s">
        <v>685</v>
      </c>
      <c r="Q16" s="33"/>
      <c r="S16" s="16"/>
      <c r="T16" s="94"/>
      <c r="U16" s="95"/>
      <c r="V16" s="98"/>
      <c r="W16" s="99"/>
      <c r="X16" s="16"/>
      <c r="Z16" s="16"/>
      <c r="AA16" s="36" t="s">
        <v>681</v>
      </c>
      <c r="AB16" s="37"/>
      <c r="AC16" s="35"/>
      <c r="AD16" s="83" t="s">
        <v>682</v>
      </c>
      <c r="AE16" s="83"/>
      <c r="AF16" s="37"/>
      <c r="AG16" s="35"/>
      <c r="AH16" s="35" t="s">
        <v>683</v>
      </c>
      <c r="AI16" s="37"/>
      <c r="AJ16" s="35"/>
      <c r="AK16" s="35" t="s">
        <v>684</v>
      </c>
      <c r="AL16" s="37"/>
      <c r="AM16" s="35"/>
      <c r="AN16" s="35" t="s">
        <v>685</v>
      </c>
      <c r="AO16" s="16"/>
    </row>
    <row r="17" spans="1:41" ht="18.75" customHeight="1">
      <c r="A17" s="32">
        <v>25</v>
      </c>
      <c r="B17" s="16"/>
      <c r="C17" s="16"/>
      <c r="D17" s="34"/>
      <c r="E17" s="16"/>
      <c r="F17" s="16"/>
      <c r="G17" s="16"/>
      <c r="H17" s="34"/>
      <c r="I17" s="16"/>
      <c r="J17" s="16"/>
      <c r="K17" s="34"/>
      <c r="L17" s="16"/>
      <c r="M17" s="16"/>
      <c r="N17" s="34"/>
      <c r="O17" s="16"/>
      <c r="P17" s="16"/>
      <c r="Q17" s="16"/>
      <c r="S17" s="16"/>
      <c r="T17" s="44" t="str">
        <f>INDEX(Table7[Result_P1],1)</f>
        <v/>
      </c>
      <c r="U17" s="100" t="s">
        <v>681</v>
      </c>
      <c r="V17" s="100"/>
      <c r="W17" s="42" t="str">
        <f>INDEX(Table7[Result_P2],1)</f>
        <v/>
      </c>
      <c r="X17" s="16"/>
      <c r="Z17" s="16"/>
      <c r="AA17" s="16"/>
      <c r="AB17" s="34"/>
      <c r="AC17" s="16"/>
      <c r="AD17" s="16"/>
      <c r="AE17" s="16"/>
      <c r="AF17" s="34"/>
      <c r="AG17" s="16"/>
      <c r="AH17" s="16"/>
      <c r="AI17" s="34"/>
      <c r="AJ17" s="16"/>
      <c r="AK17" s="16"/>
      <c r="AL17" s="34"/>
      <c r="AM17" s="16"/>
      <c r="AN17" s="16"/>
      <c r="AO17" s="16"/>
    </row>
    <row r="18" spans="1:41" ht="18.75" customHeight="1">
      <c r="A18" s="32">
        <v>25</v>
      </c>
      <c r="B18" s="16"/>
      <c r="C18" s="16"/>
      <c r="D18" s="34"/>
      <c r="E18" s="16"/>
      <c r="F18" s="16"/>
      <c r="G18" s="16"/>
      <c r="H18" s="34"/>
      <c r="I18" s="16"/>
      <c r="J18" s="16"/>
      <c r="K18" s="34"/>
      <c r="L18" s="16"/>
      <c r="M18" s="16"/>
      <c r="N18" s="34"/>
      <c r="O18" s="16"/>
      <c r="P18" s="16"/>
      <c r="Q18" s="16"/>
      <c r="S18" s="16"/>
      <c r="T18" s="44" t="str">
        <f>INDEX(Table7[Result_P1],2)</f>
        <v/>
      </c>
      <c r="U18" s="100" t="s">
        <v>682</v>
      </c>
      <c r="V18" s="100"/>
      <c r="W18" s="42" t="str">
        <f>INDEX(Table7[Result_P2],2)</f>
        <v/>
      </c>
      <c r="X18" s="16"/>
      <c r="Z18" s="16"/>
      <c r="AA18" s="16"/>
      <c r="AB18" s="34"/>
      <c r="AC18" s="16"/>
      <c r="AD18" s="16"/>
      <c r="AE18" s="16"/>
      <c r="AF18" s="34"/>
      <c r="AG18" s="16"/>
      <c r="AH18" s="16"/>
      <c r="AI18" s="34"/>
      <c r="AJ18" s="16"/>
      <c r="AK18" s="16"/>
      <c r="AL18" s="34"/>
      <c r="AM18" s="16"/>
      <c r="AN18" s="16"/>
      <c r="AO18" s="16"/>
    </row>
    <row r="19" spans="1:41" ht="18.75" customHeight="1">
      <c r="A19" s="32">
        <v>25</v>
      </c>
      <c r="B19" s="16"/>
      <c r="C19" s="16"/>
      <c r="D19" s="16"/>
      <c r="E19" s="16"/>
      <c r="F19" s="16"/>
      <c r="G19" s="16"/>
      <c r="H19" s="16"/>
      <c r="I19" s="16"/>
      <c r="J19" s="16"/>
      <c r="K19" s="16"/>
      <c r="L19" s="16"/>
      <c r="M19" s="16"/>
      <c r="N19" s="16"/>
      <c r="O19" s="16"/>
      <c r="P19" s="16"/>
      <c r="Q19" s="16"/>
      <c r="S19" s="16"/>
      <c r="T19" s="44" t="str">
        <f>INDEX(Table7[Result_P1],3)</f>
        <v/>
      </c>
      <c r="U19" s="100" t="s">
        <v>683</v>
      </c>
      <c r="V19" s="100"/>
      <c r="W19" s="42" t="str">
        <f>INDEX(Table7[Result_P2],3)</f>
        <v/>
      </c>
      <c r="X19" s="16"/>
      <c r="Z19" s="16"/>
      <c r="AA19" s="16"/>
      <c r="AB19" s="16"/>
      <c r="AC19" s="16"/>
      <c r="AD19" s="16"/>
      <c r="AE19" s="16"/>
      <c r="AF19" s="16"/>
      <c r="AG19" s="16"/>
      <c r="AH19" s="16"/>
      <c r="AI19" s="16"/>
      <c r="AJ19" s="16"/>
      <c r="AK19" s="16"/>
      <c r="AL19" s="16"/>
      <c r="AM19" s="16"/>
      <c r="AN19" s="16"/>
      <c r="AO19" s="16"/>
    </row>
    <row r="20" spans="1:41" ht="18.75" customHeight="1">
      <c r="A20" s="32">
        <v>25</v>
      </c>
      <c r="B20" s="16"/>
      <c r="C20" s="85" t="str">
        <f>TT!$O$82</f>
        <v>My 
stats:</v>
      </c>
      <c r="D20" s="84" t="str">
        <f>TT!$O$49</f>
        <v>Rock</v>
      </c>
      <c r="E20" s="84"/>
      <c r="F20" s="84"/>
      <c r="G20" s="84" t="str">
        <f>TT!$O$50</f>
        <v>Paper</v>
      </c>
      <c r="H20" s="84"/>
      <c r="I20" s="84"/>
      <c r="J20" s="84" t="str">
        <f>TT!$O$51</f>
        <v>Scissors</v>
      </c>
      <c r="K20" s="84"/>
      <c r="L20" s="39"/>
      <c r="M20" s="38"/>
      <c r="N20" s="38"/>
      <c r="O20" s="38"/>
      <c r="P20" s="38"/>
      <c r="Q20" s="38"/>
      <c r="S20" s="16"/>
      <c r="T20" s="44" t="str">
        <f>INDEX(Table7[Result_P1],4)</f>
        <v/>
      </c>
      <c r="U20" s="100" t="s">
        <v>684</v>
      </c>
      <c r="V20" s="100"/>
      <c r="W20" s="42" t="str">
        <f>INDEX(Table7[Result_P2],4)</f>
        <v/>
      </c>
      <c r="X20" s="16"/>
      <c r="Z20" s="16"/>
      <c r="AA20" s="85" t="str">
        <f>TT!$O$83</f>
        <v>Excel 
stats:</v>
      </c>
      <c r="AB20" s="84" t="str">
        <f>TT!$O$49</f>
        <v>Rock</v>
      </c>
      <c r="AC20" s="84"/>
      <c r="AD20" s="84"/>
      <c r="AE20" s="84" t="str">
        <f>TT!$O$50</f>
        <v>Paper</v>
      </c>
      <c r="AF20" s="84"/>
      <c r="AG20" s="84"/>
      <c r="AH20" s="84" t="str">
        <f>TT!$O$51</f>
        <v>Scissors</v>
      </c>
      <c r="AI20" s="84"/>
      <c r="AJ20" s="39"/>
      <c r="AK20" s="39"/>
      <c r="AL20" s="16"/>
      <c r="AM20" s="16"/>
      <c r="AN20" s="16"/>
      <c r="AO20" s="16"/>
    </row>
    <row r="21" spans="1:41" ht="18.75" customHeight="1">
      <c r="A21" s="32">
        <v>25</v>
      </c>
      <c r="B21" s="16"/>
      <c r="C21" s="85"/>
      <c r="D21" s="88" t="str">
        <f>Perc_P1_1</f>
        <v/>
      </c>
      <c r="E21" s="89"/>
      <c r="F21" s="89"/>
      <c r="G21" s="88" t="str">
        <f>Perc_P1_2</f>
        <v/>
      </c>
      <c r="H21" s="88"/>
      <c r="I21" s="88"/>
      <c r="J21" s="88" t="str">
        <f>Perc_P1_3</f>
        <v/>
      </c>
      <c r="K21" s="88"/>
      <c r="L21" s="40"/>
      <c r="M21" s="38"/>
      <c r="N21" s="38"/>
      <c r="O21" s="38"/>
      <c r="P21" s="38"/>
      <c r="Q21" s="38"/>
      <c r="S21" s="16"/>
      <c r="T21" s="45" t="str">
        <f>INDEX(Table7[Result_P1],5)</f>
        <v/>
      </c>
      <c r="U21" s="79" t="s">
        <v>685</v>
      </c>
      <c r="V21" s="79"/>
      <c r="W21" s="43" t="str">
        <f>INDEX(Table7[Result_P2],5)</f>
        <v/>
      </c>
      <c r="X21" s="16"/>
      <c r="Z21" s="16"/>
      <c r="AA21" s="85"/>
      <c r="AB21" s="80" t="str">
        <f>Perc_P2_1</f>
        <v/>
      </c>
      <c r="AC21" s="81"/>
      <c r="AD21" s="81"/>
      <c r="AE21" s="80" t="str">
        <f>Perc_P2_2</f>
        <v/>
      </c>
      <c r="AF21" s="80"/>
      <c r="AG21" s="80"/>
      <c r="AH21" s="80" t="str">
        <f>Perc_P2_3</f>
        <v/>
      </c>
      <c r="AI21" s="80"/>
      <c r="AJ21" s="41"/>
      <c r="AK21" s="41"/>
      <c r="AL21" s="16"/>
      <c r="AM21" s="16"/>
      <c r="AN21" s="16"/>
      <c r="AO21" s="16"/>
    </row>
    <row r="22" spans="1:41" ht="15" customHeight="1">
      <c r="A22" s="32">
        <v>20</v>
      </c>
      <c r="B22" s="16"/>
      <c r="C22" s="38"/>
      <c r="D22" s="38"/>
      <c r="E22" s="38"/>
      <c r="F22" s="38"/>
      <c r="G22" s="38"/>
      <c r="H22" s="38"/>
      <c r="I22" s="38"/>
      <c r="J22" s="38"/>
      <c r="K22" s="38"/>
      <c r="L22" s="38"/>
      <c r="M22" s="38"/>
      <c r="N22" s="38"/>
      <c r="O22" s="38"/>
      <c r="P22" s="38"/>
      <c r="Q22" s="38"/>
      <c r="S22" s="16"/>
      <c r="T22" s="16"/>
      <c r="U22" s="16"/>
      <c r="V22" s="16"/>
      <c r="W22" s="16"/>
      <c r="X22" s="16"/>
      <c r="Z22" s="16"/>
      <c r="AA22" s="16"/>
      <c r="AB22" s="16"/>
      <c r="AC22" s="16"/>
      <c r="AD22" s="16"/>
      <c r="AE22" s="16"/>
      <c r="AF22" s="16"/>
      <c r="AG22" s="16"/>
      <c r="AH22" s="16"/>
      <c r="AI22" s="16"/>
      <c r="AJ22" s="16"/>
      <c r="AK22" s="16"/>
      <c r="AL22" s="16"/>
      <c r="AM22" s="16"/>
      <c r="AN22" s="16"/>
      <c r="AO22" s="16"/>
    </row>
  </sheetData>
  <sheetProtection sheet="1" objects="1" scenarios="1"/>
  <mergeCells count="28">
    <mergeCell ref="C20:C21"/>
    <mergeCell ref="D20:F20"/>
    <mergeCell ref="D21:F21"/>
    <mergeCell ref="C2:P2"/>
    <mergeCell ref="T12:W13"/>
    <mergeCell ref="T15:U16"/>
    <mergeCell ref="V15:W16"/>
    <mergeCell ref="G20:I20"/>
    <mergeCell ref="G21:I21"/>
    <mergeCell ref="F16:G16"/>
    <mergeCell ref="J20:K20"/>
    <mergeCell ref="J21:K21"/>
    <mergeCell ref="U17:V17"/>
    <mergeCell ref="U18:V18"/>
    <mergeCell ref="U19:V19"/>
    <mergeCell ref="U20:V20"/>
    <mergeCell ref="U21:V21"/>
    <mergeCell ref="AB21:AD21"/>
    <mergeCell ref="AA2:AN2"/>
    <mergeCell ref="AD16:AE16"/>
    <mergeCell ref="AE20:AG20"/>
    <mergeCell ref="AH20:AI20"/>
    <mergeCell ref="AE21:AG21"/>
    <mergeCell ref="AH21:AI21"/>
    <mergeCell ref="AA20:AA21"/>
    <mergeCell ref="AB20:AD20"/>
    <mergeCell ref="T4:W5"/>
    <mergeCell ref="T7:W9"/>
  </mergeCell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4" operator="equal" id="{BA01DD61-773A-458D-A4D5-B1F7EF431B64}">
            <xm:f>Backend_RPS!$BB$4</xm:f>
            <x14:dxf>
              <font>
                <b/>
                <i val="0"/>
                <color rgb="FF494949"/>
              </font>
            </x14:dxf>
          </x14:cfRule>
          <xm:sqref>T17:W21</xm:sqref>
        </x14:conditionalFormatting>
        <x14:conditionalFormatting xmlns:xm="http://schemas.microsoft.com/office/excel/2006/main">
          <x14:cfRule type="expression" priority="1" id="{46871EAA-DE62-4EAA-A1DF-15A07CC7B1DE}">
            <xm:f>$T$12=Backend_RPS!$BD$5</xm:f>
            <x14:dxf>
              <font>
                <color theme="7"/>
              </font>
            </x14:dxf>
          </x14:cfRule>
          <x14:cfRule type="expression" priority="2" id="{EFE633CA-DF4B-43A7-AC25-6B4CF6C84CDB}">
            <xm:f>$T$12=Backend_RPS!$BD$4</xm:f>
            <x14:dxf>
              <font>
                <color rgb="FF494949"/>
              </font>
            </x14:dxf>
          </x14:cfRule>
          <x14:cfRule type="expression" priority="3" id="{6E22AC08-7772-4E74-BBC8-9690F5418236}">
            <xm:f>$T$12=Backend_RPS!$BD$3</xm:f>
            <x14:dxf>
              <font>
                <color theme="9"/>
              </font>
            </x14:dxf>
          </x14:cfRule>
          <xm:sqref>T12:W13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433B0-BBCC-47E2-AAA6-196C9FB57B0F}">
  <sheetPr codeName="Sheet11"/>
  <dimension ref="B2:W4"/>
  <sheetViews>
    <sheetView workbookViewId="0">
      <selection activeCell="G2" sqref="G2"/>
    </sheetView>
  </sheetViews>
  <sheetFormatPr defaultRowHeight="18.75" customHeight="1"/>
  <cols>
    <col min="1" max="1" width="3.125" customWidth="1"/>
    <col min="2" max="3" width="11.25" customWidth="1"/>
    <col min="5" max="5" width="9.375" bestFit="1" customWidth="1"/>
    <col min="6" max="6" width="9.75" bestFit="1" customWidth="1"/>
    <col min="7" max="23" width="8.75" customWidth="1"/>
  </cols>
  <sheetData>
    <row r="2" spans="2:23" s="50" customFormat="1" ht="33">
      <c r="E2" s="66" t="str">
        <f>TT!$O$107</f>
        <v>Date</v>
      </c>
      <c r="F2" s="64" t="str">
        <f>TT!$O$108</f>
        <v>Time</v>
      </c>
      <c r="G2" s="64" t="str">
        <f>TT!$O$91</f>
        <v>Player 1 - Round 1</v>
      </c>
      <c r="H2" s="64" t="str">
        <f>TT!$O$92</f>
        <v>Player 1 - Round 2</v>
      </c>
      <c r="I2" s="64" t="str">
        <f>TT!$O$93</f>
        <v>Player 1 - Round 3</v>
      </c>
      <c r="J2" s="64" t="str">
        <f>TT!$O$94</f>
        <v>Player 1 - Round 4</v>
      </c>
      <c r="K2" s="64" t="str">
        <f>TT!$O$95</f>
        <v>Player 1 - Round 5</v>
      </c>
      <c r="L2" s="64" t="str">
        <f>TT!$O$96</f>
        <v>Player 2 - Round 1</v>
      </c>
      <c r="M2" s="64" t="str">
        <f>TT!$O$97</f>
        <v>Player 2 - Round 2</v>
      </c>
      <c r="N2" s="64" t="str">
        <f>TT!$O$98</f>
        <v>Player 2 - Round 3</v>
      </c>
      <c r="O2" s="64" t="str">
        <f>TT!$O$99</f>
        <v>Player 2 - Round 4</v>
      </c>
      <c r="P2" s="64" t="str">
        <f>TT!$O$100</f>
        <v>Player 2 - Round 5</v>
      </c>
      <c r="Q2" s="64" t="str">
        <f>TT!$O$109</f>
        <v>Match Winner</v>
      </c>
      <c r="R2" s="64" t="str">
        <f>TT!$O$110</f>
        <v>Player - Rock</v>
      </c>
      <c r="S2" s="64" t="str">
        <f>TT!$O$111</f>
        <v>Player - Paper</v>
      </c>
      <c r="T2" s="64" t="str">
        <f>TT!$O$112</f>
        <v>Player - Scissors</v>
      </c>
      <c r="U2" s="64" t="str">
        <f>TT!$O$113</f>
        <v>Excel - Rock</v>
      </c>
      <c r="V2" s="64" t="str">
        <f>TT!$O$114</f>
        <v>Excel - Paper</v>
      </c>
      <c r="W2" s="65" t="str">
        <f>TT!$O$115</f>
        <v>Excel - Scissors</v>
      </c>
    </row>
    <row r="3" spans="2:23" ht="18.75" hidden="1" customHeight="1">
      <c r="E3" t="s">
        <v>625</v>
      </c>
      <c r="F3" t="s">
        <v>40</v>
      </c>
      <c r="G3" t="s">
        <v>530</v>
      </c>
      <c r="H3" t="s">
        <v>536</v>
      </c>
      <c r="I3" t="s">
        <v>542</v>
      </c>
      <c r="J3" t="s">
        <v>548</v>
      </c>
      <c r="K3" t="s">
        <v>554</v>
      </c>
      <c r="L3" t="s">
        <v>560</v>
      </c>
      <c r="M3" t="s">
        <v>566</v>
      </c>
      <c r="N3" t="s">
        <v>571</v>
      </c>
      <c r="O3" t="s">
        <v>577</v>
      </c>
      <c r="P3" t="s">
        <v>583</v>
      </c>
      <c r="Q3" t="s">
        <v>630</v>
      </c>
      <c r="R3" t="s">
        <v>636</v>
      </c>
      <c r="S3" t="s">
        <v>642</v>
      </c>
      <c r="T3" t="s">
        <v>648</v>
      </c>
      <c r="U3" t="s">
        <v>654</v>
      </c>
      <c r="V3" t="s">
        <v>660</v>
      </c>
      <c r="W3" t="s">
        <v>664</v>
      </c>
    </row>
    <row r="4" spans="2:23" ht="18.75" customHeight="1">
      <c r="B4" s="101" t="str">
        <f>TT!$O$116</f>
        <v>Clear data </v>
      </c>
      <c r="C4" s="101"/>
      <c r="E4" s="62"/>
      <c r="F4" s="63"/>
      <c r="R4" s="28"/>
      <c r="S4" s="28"/>
      <c r="T4" s="28"/>
      <c r="U4" s="28"/>
      <c r="V4" s="28"/>
      <c r="W4" s="28"/>
    </row>
  </sheetData>
  <mergeCells count="1">
    <mergeCell ref="B4:C4"/>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0211-36E7-41C4-B5D8-FCA64BECD0D2}">
  <sheetPr codeName="Sheet5"/>
  <dimension ref="B1:AW29"/>
  <sheetViews>
    <sheetView workbookViewId="0">
      <selection activeCell="K11" sqref="K11"/>
    </sheetView>
  </sheetViews>
  <sheetFormatPr defaultColWidth="7.5" defaultRowHeight="22.5" customHeight="1"/>
  <cols>
    <col min="1" max="1" width="3.75" customWidth="1"/>
    <col min="2" max="2" width="8.25" customWidth="1"/>
    <col min="3" max="3" width="9" customWidth="1"/>
    <col min="4" max="4" width="19.5" customWidth="1"/>
    <col min="9" max="10" width="8.25" customWidth="1"/>
    <col min="11" max="11" width="9.375" bestFit="1" customWidth="1"/>
    <col min="12" max="12" width="9.375" customWidth="1"/>
    <col min="13" max="13" width="13.375" bestFit="1" customWidth="1"/>
    <col min="14" max="14" width="11.875" bestFit="1" customWidth="1"/>
    <col min="15" max="15" width="12.875" bestFit="1" customWidth="1"/>
    <col min="16" max="16" width="12.875" customWidth="1"/>
    <col min="17" max="17" width="13.25" bestFit="1" customWidth="1"/>
    <col min="18" max="18" width="11.75" bestFit="1" customWidth="1"/>
    <col min="19" max="19" width="12.75" bestFit="1" customWidth="1"/>
    <col min="20" max="21" width="12.75" customWidth="1"/>
  </cols>
  <sheetData>
    <row r="1" spans="2:49" ht="22.5" customHeight="1">
      <c r="V1" s="111" t="s">
        <v>686</v>
      </c>
      <c r="W1" s="111"/>
      <c r="X1" s="111"/>
      <c r="Y1" s="111"/>
      <c r="Z1" s="111" t="s">
        <v>244</v>
      </c>
      <c r="AA1" s="111"/>
      <c r="AB1" s="111"/>
      <c r="AC1" s="111"/>
      <c r="AD1" s="111" t="s">
        <v>687</v>
      </c>
      <c r="AE1" s="111"/>
      <c r="AF1" s="111"/>
      <c r="AG1" s="111"/>
      <c r="AH1" s="111" t="s">
        <v>688</v>
      </c>
      <c r="AI1" s="111"/>
      <c r="AJ1" s="111"/>
      <c r="AK1" s="111"/>
      <c r="AL1" s="111" t="s">
        <v>689</v>
      </c>
      <c r="AM1" s="111"/>
      <c r="AN1" s="111"/>
      <c r="AO1" s="111"/>
    </row>
    <row r="2" spans="2:49" ht="22.5" customHeight="1">
      <c r="B2" t="s">
        <v>2</v>
      </c>
      <c r="C2" t="s">
        <v>690</v>
      </c>
      <c r="D2" t="s">
        <v>691</v>
      </c>
      <c r="E2" t="s">
        <v>692</v>
      </c>
      <c r="F2" t="s">
        <v>693</v>
      </c>
      <c r="G2" t="s">
        <v>694</v>
      </c>
      <c r="H2" t="s">
        <v>695</v>
      </c>
      <c r="J2" t="s">
        <v>2</v>
      </c>
      <c r="K2" t="s">
        <v>696</v>
      </c>
      <c r="L2" t="s">
        <v>697</v>
      </c>
      <c r="M2" t="s">
        <v>698</v>
      </c>
      <c r="N2" t="s">
        <v>699</v>
      </c>
      <c r="O2" t="s">
        <v>700</v>
      </c>
      <c r="P2" t="s">
        <v>701</v>
      </c>
      <c r="Q2" t="s">
        <v>702</v>
      </c>
      <c r="R2" t="s">
        <v>703</v>
      </c>
      <c r="S2" t="s">
        <v>704</v>
      </c>
      <c r="T2" t="s">
        <v>705</v>
      </c>
      <c r="U2" t="s">
        <v>706</v>
      </c>
      <c r="V2" t="s">
        <v>707</v>
      </c>
      <c r="W2" t="s">
        <v>708</v>
      </c>
      <c r="X2" t="s">
        <v>709</v>
      </c>
      <c r="Y2" t="s">
        <v>710</v>
      </c>
      <c r="Z2" t="s">
        <v>711</v>
      </c>
      <c r="AA2" t="s">
        <v>712</v>
      </c>
      <c r="AB2" t="s">
        <v>713</v>
      </c>
      <c r="AC2" t="s">
        <v>714</v>
      </c>
      <c r="AD2" t="s">
        <v>715</v>
      </c>
      <c r="AE2" t="s">
        <v>716</v>
      </c>
      <c r="AF2" t="s">
        <v>717</v>
      </c>
      <c r="AG2" t="s">
        <v>718</v>
      </c>
      <c r="AH2" t="s">
        <v>719</v>
      </c>
      <c r="AI2" t="s">
        <v>720</v>
      </c>
      <c r="AJ2" t="s">
        <v>721</v>
      </c>
      <c r="AK2" t="s">
        <v>722</v>
      </c>
      <c r="AL2" t="s">
        <v>723</v>
      </c>
      <c r="AM2" t="s">
        <v>724</v>
      </c>
      <c r="AN2" t="s">
        <v>725</v>
      </c>
      <c r="AO2" t="s">
        <v>726</v>
      </c>
      <c r="AP2" t="s">
        <v>727</v>
      </c>
      <c r="AR2" t="s">
        <v>728</v>
      </c>
      <c r="AS2" t="s">
        <v>729</v>
      </c>
      <c r="AT2" t="s">
        <v>730</v>
      </c>
      <c r="AU2" t="s">
        <v>731</v>
      </c>
      <c r="AV2" t="s">
        <v>732</v>
      </c>
      <c r="AW2" t="s">
        <v>733</v>
      </c>
    </row>
    <row r="3" spans="2:49" ht="22.5" customHeight="1">
      <c r="B3">
        <f>ROW()-ROW(tbl_HC[#Headers])</f>
        <v>1</v>
      </c>
      <c r="C3" t="s">
        <v>734</v>
      </c>
      <c r="D3" t="str">
        <f>TT!$O55</f>
        <v>Radius</v>
      </c>
      <c r="E3">
        <f>ABS(HandSelVal-IF(tbl_HC[[#This Row],[ProperName]]=$D$3,3.2,IF(tbl_HC[[#This Row],[ProperName]]=$D$4,2.3,INDEX(Table13[],MATCH(VALUE(RIGHT(tbl_HC[[#This Row],[Object]],1)),Table13[Row],0),MATCH(LEFT(tbl_HC[[#This Row],[Object]],2)&amp;E$2,Table13[#Headers],0)))))</f>
        <v>3.2</v>
      </c>
      <c r="F3">
        <f>ABS(HandSelVal-IF(tbl_HC[[#This Row],[ProperName]]=$D$3,3.2,IF(tbl_HC[[#This Row],[ProperName]]=$D$4,2.3,INDEX(Table13[],MATCH(VALUE(RIGHT(tbl_HC[[#This Row],[Object]],1)),Table13[Row],0),MATCH(LEFT(tbl_HC[[#This Row],[Object]],2)&amp;F$2,Table13[#Headers],0)))))</f>
        <v>3.2</v>
      </c>
      <c r="G3">
        <f>IF(OR(tbl_HC[[#This Row],[ProperName]]=$D$3,tbl_HC[[#This Row],[ProperName]]=$D$4),-10,INDEX(Table13[],MATCH(VALUE(RIGHT(tbl_HC[[#This Row],[Object]],1)),Table13[Row],0),MATCH(LEFT(tbl_HC[[#This Row],[Object]],2)&amp;G$2,Table13[#Headers],0)))</f>
        <v>-10</v>
      </c>
      <c r="H3">
        <f>IF(OR(tbl_HC[[#This Row],[ProperName]]=$D$3,tbl_HC[[#This Row],[ProperName]]=$D$4),14,INDEX(Table13[],MATCH(VALUE(RIGHT(tbl_HC[[#This Row],[Object]],1)),Table13[Row],0),MATCH(LEFT(tbl_HC[[#This Row],[Object]],2)&amp;H$2,Table13[#Headers],0)))</f>
        <v>14</v>
      </c>
      <c r="J3">
        <f>ROW()-ROW(Table13[#Headers])</f>
        <v>1</v>
      </c>
      <c r="K3" t="str">
        <f>TT!$O26</f>
        <v>Thumb</v>
      </c>
      <c r="L3">
        <f>IF(AND($K$11,Table13[[#This Row],[Row]]&lt;&gt;2),100,INDEX('Data In'!$F$5:$J$5,Table13[[#This Row],[Row]]))</f>
        <v>0</v>
      </c>
      <c r="M3" s="28">
        <f>(100-Table13[[#This Row],[Flexion]])/100</f>
        <v>1</v>
      </c>
      <c r="N3" s="29">
        <v>10.5</v>
      </c>
      <c r="O3" s="29">
        <v>0</v>
      </c>
      <c r="P3" s="29">
        <v>6</v>
      </c>
      <c r="Q3" s="29">
        <f>SUM(Table13[[#This Row],[ProxLenFull]:[DistLenFull]])</f>
        <v>16.5</v>
      </c>
      <c r="R3" s="29">
        <f>Table13[[#This Row],[FlexPerc]]*Table13[[#This Row],[ProxLenFull]]</f>
        <v>10.5</v>
      </c>
      <c r="S3" s="29">
        <f>(Table13[[#This Row],[IntLenFull]]*-0.75)+(Table13[[#This Row],[IntLenFull]]*Table13[[#This Row],[FlexPerc]]*1.75)</f>
        <v>0</v>
      </c>
      <c r="T3" s="29">
        <f>IF(Table13[[#This Row],[Row]]=1,(Table13[[#This Row],[DistLenFull]]*-0.75)+(Table13[[#This Row],[DistLenFull]]*Table13[[#This Row],[FlexPerc]]*1.75),Table13[[#This Row],[DistLenFull]]*(MAX(0,Table13[[#This Row],[FlexPerc]]-0.5)*4-1))</f>
        <v>6</v>
      </c>
      <c r="U3" s="29">
        <v>0.25</v>
      </c>
      <c r="V3" s="29">
        <v>43.432186797078174</v>
      </c>
      <c r="W3" s="29">
        <v>2.15</v>
      </c>
      <c r="X3" s="29">
        <v>1.9</v>
      </c>
      <c r="Y3" s="29">
        <v>8</v>
      </c>
      <c r="Z3" s="29">
        <v>20</v>
      </c>
      <c r="AA3" s="29">
        <v>2</v>
      </c>
      <c r="AB3" s="29">
        <v>0.75</v>
      </c>
      <c r="AC3" s="29">
        <v>14</v>
      </c>
      <c r="AD3" s="29">
        <v>26.939764294607535</v>
      </c>
      <c r="AE3" s="29">
        <f>Table13[[#This Row],[MCX2]]</f>
        <v>0.75</v>
      </c>
      <c r="AF3" s="29">
        <f>(Table13[[#This Row],[PhalFullExX]]-Table13[[#This Row],[PPX1]])*(Table13[[#This Row],[ProxLenAdj]]/Table13[[#This Row],[FullExtension]])+Table13[[#This Row],[PPX1]]</f>
        <v>0.43181818181818182</v>
      </c>
      <c r="AG3" s="29">
        <f>Table13[[#This Row],[MCY2]]</f>
        <v>26.939764294607535</v>
      </c>
      <c r="AH3" s="29">
        <f>(Table13[[#This Row],[PhalFullExY]]-Table13[[#This Row],[PPY1]])*(Table13[[#This Row],[ProxLenAdj]]/Table13[[#This Row],[FullExtension]])+Table13[[#This Row],[PPY1]]</f>
        <v>37.434942250725214</v>
      </c>
      <c r="AI3" s="29">
        <f>Table13[[#This Row],[PPX2]]</f>
        <v>0.43181818181818182</v>
      </c>
      <c r="AJ3" s="29">
        <f>(Table13[[#This Row],[PhalFullExX]]-Table13[[#This Row],[MCX2]])*(Table13[[#This Row],[IntLenAdj]]/Table13[[#This Row],[FullExtension]])+Table13[[#This Row],[IPX1]]</f>
        <v>0.43181818181818182</v>
      </c>
      <c r="AK3" s="29">
        <f>Table13[[#This Row],[PPY2]]</f>
        <v>37.434942250725214</v>
      </c>
      <c r="AL3" s="29">
        <f>(Table13[[#This Row],[PhalFullExY]]-Table13[[#This Row],[MCY2]])*(Table13[[#This Row],[IntLenAdj]]/Table13[[#This Row],[FullExtension]])+Table13[[#This Row],[IPY1]]</f>
        <v>37.434942250725214</v>
      </c>
      <c r="AM3" s="29">
        <f>Table13[[#This Row],[IPX2]]</f>
        <v>0.43181818181818182</v>
      </c>
      <c r="AN3" s="29">
        <f>(Table13[[#This Row],[PhalFullExX]]-Table13[[#This Row],[MCX2]])*(Table13[[#This Row],[DistLenAdj]]/Table13[[#This Row],[FullExtension]])+Table13[[#This Row],[DPX1]]</f>
        <v>0.25</v>
      </c>
      <c r="AO3" s="29">
        <f>Table13[[#This Row],[IPY2]]</f>
        <v>37.434942250725214</v>
      </c>
      <c r="AP3" s="29">
        <f>(Table13[[#This Row],[PhalFullExY]]-Table13[[#This Row],[MCY2]])*(Table13[[#This Row],[DistLenAdj]]/Table13[[#This Row],[FullExtension]])+Table13[[#This Row],[DPY1]]</f>
        <v>43.432186797078174</v>
      </c>
      <c r="AR3">
        <f>IF(HandSel=1,1,5)</f>
        <v>1</v>
      </c>
      <c r="AS3" t="str">
        <f>INDEX(Table13[Finger],Table4[[#This Row],[Num]])</f>
        <v>Thumb</v>
      </c>
      <c r="AT3">
        <f>100-INDEX(Table13[FlexPerc],Table4[[#This Row],[Num]])*100</f>
        <v>0</v>
      </c>
      <c r="AU3">
        <f>100-Table4[[#This Row],[Val]]</f>
        <v>100</v>
      </c>
      <c r="AV3">
        <f>IFERROR(MIN(MAX(Table4[[#This Row],[Val]],0),100),0)</f>
        <v>0</v>
      </c>
      <c r="AW3" t="str">
        <f>IF(AND(Table4[[#This Row],[RangedVal]]&gt;=0,Table4[[#This Row],[RangedVal]]&lt;45),"e",IF(AND(Table4[[#This Row],[RangedVal]]&gt;=25,Table4[[#This Row],[RangedVal]]&lt;=100),"f","n"))</f>
        <v>e</v>
      </c>
    </row>
    <row r="4" spans="2:49" ht="22.5" customHeight="1">
      <c r="B4">
        <f>ROW()-ROW(tbl_HC[#Headers])</f>
        <v>2</v>
      </c>
      <c r="C4" t="s">
        <v>735</v>
      </c>
      <c r="D4" t="str">
        <f>TT!$O56</f>
        <v>Ulna</v>
      </c>
      <c r="E4">
        <f>ABS(HandSelVal-IF(tbl_HC[[#This Row],[ProperName]]=$D$3,3.2,IF(tbl_HC[[#This Row],[ProperName]]=$D$4,2.3,INDEX(Table13[],MATCH(VALUE(RIGHT(tbl_HC[[#This Row],[Object]],1)),Table13[Row],0),MATCH(LEFT(tbl_HC[[#This Row],[Object]],2)&amp;E$2,Table13[#Headers],0)))))</f>
        <v>2.2999999999999998</v>
      </c>
      <c r="F4">
        <f>ABS(HandSelVal-IF(tbl_HC[[#This Row],[ProperName]]=$D$3,3.2,IF(tbl_HC[[#This Row],[ProperName]]=$D$4,2.3,INDEX(Table13[],MATCH(VALUE(RIGHT(tbl_HC[[#This Row],[Object]],1)),Table13[Row],0),MATCH(LEFT(tbl_HC[[#This Row],[Object]],2)&amp;F$2,Table13[#Headers],0)))))</f>
        <v>2.2999999999999998</v>
      </c>
      <c r="G4">
        <f>IF(OR(tbl_HC[[#This Row],[ProperName]]=$D$3,tbl_HC[[#This Row],[ProperName]]=$D$4),-10,INDEX(Table13[],MATCH(VALUE(RIGHT(tbl_HC[[#This Row],[Object]],1)),Table13[Row],0),MATCH(LEFT(tbl_HC[[#This Row],[Object]],2)&amp;G$2,Table13[#Headers],0)))</f>
        <v>-10</v>
      </c>
      <c r="H4">
        <f>IF(OR(tbl_HC[[#This Row],[ProperName]]=$D$3,tbl_HC[[#This Row],[ProperName]]=$D$4),14,INDEX(Table13[],MATCH(VALUE(RIGHT(tbl_HC[[#This Row],[Object]],1)),Table13[Row],0),MATCH(LEFT(tbl_HC[[#This Row],[Object]],2)&amp;H$2,Table13[#Headers],0)))</f>
        <v>14</v>
      </c>
      <c r="J4">
        <f>ROW()-ROW(Table13[#Headers])</f>
        <v>2</v>
      </c>
      <c r="K4" t="str">
        <f>TT!$O27</f>
        <v>Index</v>
      </c>
      <c r="L4">
        <f>IF(AND($K$11,Table13[[#This Row],[Row]]&lt;&gt;2),100,INDEX('Data In'!$F$5:$J$5,Table13[[#This Row],[Row]]))</f>
        <v>0</v>
      </c>
      <c r="M4" s="28">
        <f>(100-Table13[[#This Row],[Flexion]])/100</f>
        <v>1</v>
      </c>
      <c r="N4" s="29">
        <v>15</v>
      </c>
      <c r="O4" s="29">
        <v>9</v>
      </c>
      <c r="P4" s="29">
        <v>5</v>
      </c>
      <c r="Q4" s="29">
        <f>SUM(Table13[[#This Row],[ProxLenFull]:[DistLenFull]])</f>
        <v>29</v>
      </c>
      <c r="R4" s="29">
        <f>Table13[[#This Row],[FlexPerc]]*Table13[[#This Row],[ProxLenFull]]</f>
        <v>15</v>
      </c>
      <c r="S4" s="29">
        <f>(Table13[[#This Row],[IntLenFull]]*-0.75)+(Table13[[#This Row],[IntLenFull]]*Table13[[#This Row],[FlexPerc]]*1.75)</f>
        <v>9</v>
      </c>
      <c r="T4" s="29">
        <f>IF(Table13[[#This Row],[Row]]=1,(Table13[[#This Row],[DistLenFull]]*-0.75)+(Table13[[#This Row],[DistLenFull]]*Table13[[#This Row],[FlexPerc]]*1.75),Table13[[#This Row],[DistLenFull]]*(MAX(0,Table13[[#This Row],[FlexPerc]]-0.5)*4-1))</f>
        <v>5</v>
      </c>
      <c r="U4" s="29">
        <v>1.75</v>
      </c>
      <c r="V4" s="29">
        <v>67.996948868705132</v>
      </c>
      <c r="W4" s="29">
        <v>1.9</v>
      </c>
      <c r="X4" s="29">
        <v>3.7</v>
      </c>
      <c r="Y4" s="29">
        <v>20</v>
      </c>
      <c r="Z4" s="29">
        <v>20</v>
      </c>
      <c r="AA4" s="29">
        <v>2.25</v>
      </c>
      <c r="AB4" s="29">
        <v>1.9</v>
      </c>
      <c r="AC4" s="29">
        <v>16</v>
      </c>
      <c r="AD4" s="29">
        <v>38.99733680233431</v>
      </c>
      <c r="AE4" s="29">
        <f>Table13[[#This Row],[MCX2]]</f>
        <v>1.9</v>
      </c>
      <c r="AF4" s="29">
        <f>(Table13[[#This Row],[PhalFullExX]]-Table13[[#This Row],[PPX1]])*(Table13[[#This Row],[ProxLenAdj]]/Table13[[#This Row],[FullExtension]])+Table13[[#This Row],[PPX1]]</f>
        <v>1.8224137931034483</v>
      </c>
      <c r="AG4" s="29">
        <f>Table13[[#This Row],[MCY2]]</f>
        <v>38.99733680233431</v>
      </c>
      <c r="AH4" s="29">
        <f>(Table13[[#This Row],[PhalFullExY]]-Table13[[#This Row],[PPY1]])*(Table13[[#This Row],[ProxLenAdj]]/Table13[[#This Row],[FullExtension]])+Table13[[#This Row],[PPY1]]</f>
        <v>53.997136147008874</v>
      </c>
      <c r="AI4" s="29">
        <f>Table13[[#This Row],[PPX2]]</f>
        <v>1.8224137931034483</v>
      </c>
      <c r="AJ4" s="29">
        <f>(Table13[[#This Row],[PhalFullExX]]-Table13[[#This Row],[MCX2]])*(Table13[[#This Row],[IntLenAdj]]/Table13[[#This Row],[FullExtension]])+Table13[[#This Row],[IPX1]]</f>
        <v>1.7758620689655173</v>
      </c>
      <c r="AK4" s="29">
        <f>Table13[[#This Row],[PPY2]]</f>
        <v>53.997136147008874</v>
      </c>
      <c r="AL4" s="29">
        <f>(Table13[[#This Row],[PhalFullExY]]-Table13[[#This Row],[MCY2]])*(Table13[[#This Row],[IntLenAdj]]/Table13[[#This Row],[FullExtension]])+Table13[[#This Row],[IPY1]]</f>
        <v>62.997015753813614</v>
      </c>
      <c r="AM4" s="29">
        <f>Table13[[#This Row],[IPX2]]</f>
        <v>1.7758620689655173</v>
      </c>
      <c r="AN4" s="29">
        <f>(Table13[[#This Row],[PhalFullExX]]-Table13[[#This Row],[MCX2]])*(Table13[[#This Row],[DistLenAdj]]/Table13[[#This Row],[FullExtension]])+Table13[[#This Row],[DPX1]]</f>
        <v>1.7500000000000002</v>
      </c>
      <c r="AO4" s="29">
        <f>Table13[[#This Row],[IPY2]]</f>
        <v>62.997015753813614</v>
      </c>
      <c r="AP4" s="29">
        <f>(Table13[[#This Row],[PhalFullExY]]-Table13[[#This Row],[MCY2]])*(Table13[[#This Row],[DistLenAdj]]/Table13[[#This Row],[FullExtension]])+Table13[[#This Row],[DPY1]]</f>
        <v>67.996948868705132</v>
      </c>
      <c r="AR4">
        <f>IF(HandSel=1,2,4)</f>
        <v>2</v>
      </c>
      <c r="AS4" t="str">
        <f>INDEX(Table13[Finger],Table4[[#This Row],[Num]])</f>
        <v>Index</v>
      </c>
      <c r="AT4">
        <f>100-INDEX(Table13[FlexPerc],Table4[[#This Row],[Num]])*100</f>
        <v>0</v>
      </c>
      <c r="AU4">
        <f>100-Table4[[#This Row],[Val]]</f>
        <v>100</v>
      </c>
      <c r="AV4">
        <f>IFERROR(MIN(MAX(Table4[[#This Row],[Val]],0),100),0)</f>
        <v>0</v>
      </c>
      <c r="AW4" t="str">
        <f>IF(AND(Table4[[#This Row],[RangedVal]]&gt;=0,Table4[[#This Row],[RangedVal]]&lt;45),"e",IF(AND(Table4[[#This Row],[RangedVal]]&gt;=25,Table4[[#This Row],[RangedVal]]&lt;=100),"f","n"))</f>
        <v>e</v>
      </c>
    </row>
    <row r="5" spans="2:49" ht="22.5" customHeight="1">
      <c r="B5">
        <f>ROW()-ROW(tbl_HC[#Headers])</f>
        <v>3</v>
      </c>
      <c r="C5" t="s">
        <v>736</v>
      </c>
      <c r="D5" t="str">
        <f>TT!$O57</f>
        <v>Carpals Proxy 1</v>
      </c>
      <c r="E5">
        <f>ABS(HandSelVal-IF(tbl_HC[[#This Row],[ProperName]]=$D$3,3.2,IF(tbl_HC[[#This Row],[ProperName]]=$D$4,2.3,INDEX(Table13[],MATCH(VALUE(RIGHT(tbl_HC[[#This Row],[Object]],1)),Table13[Row],0),MATCH(LEFT(tbl_HC[[#This Row],[Object]],2)&amp;E$2,Table13[#Headers],0)))))</f>
        <v>2.15</v>
      </c>
      <c r="F5">
        <f>ABS(HandSelVal-IF(tbl_HC[[#This Row],[ProperName]]=$D$3,3.2,IF(tbl_HC[[#This Row],[ProperName]]=$D$4,2.3,INDEX(Table13[],MATCH(VALUE(RIGHT(tbl_HC[[#This Row],[Object]],1)),Table13[Row],0),MATCH(LEFT(tbl_HC[[#This Row],[Object]],2)&amp;F$2,Table13[#Headers],0)))))</f>
        <v>1.9</v>
      </c>
      <c r="G5">
        <f>IF(OR(tbl_HC[[#This Row],[ProperName]]=$D$3,tbl_HC[[#This Row],[ProperName]]=$D$4),-10,INDEX(Table13[],MATCH(VALUE(RIGHT(tbl_HC[[#This Row],[Object]],1)),Table13[Row],0),MATCH(LEFT(tbl_HC[[#This Row],[Object]],2)&amp;G$2,Table13[#Headers],0)))</f>
        <v>8</v>
      </c>
      <c r="H5">
        <f>IF(OR(tbl_HC[[#This Row],[ProperName]]=$D$3,tbl_HC[[#This Row],[ProperName]]=$D$4),14,INDEX(Table13[],MATCH(VALUE(RIGHT(tbl_HC[[#This Row],[Object]],1)),Table13[Row],0),MATCH(LEFT(tbl_HC[[#This Row],[Object]],2)&amp;H$2,Table13[#Headers],0)))</f>
        <v>20</v>
      </c>
      <c r="J5">
        <f>ROW()-ROW(Table13[#Headers])</f>
        <v>3</v>
      </c>
      <c r="K5" t="str">
        <f>TT!$O28</f>
        <v>Middle</v>
      </c>
      <c r="L5">
        <f>IF(AND($K$11,Table13[[#This Row],[Row]]&lt;&gt;2),100,INDEX('Data In'!$F$5:$J$5,Table13[[#This Row],[Row]]))</f>
        <v>0</v>
      </c>
      <c r="M5" s="28">
        <f>(100-Table13[[#This Row],[Flexion]])/100</f>
        <v>1</v>
      </c>
      <c r="N5" s="29">
        <v>17</v>
      </c>
      <c r="O5" s="29">
        <v>11</v>
      </c>
      <c r="P5" s="29">
        <v>5</v>
      </c>
      <c r="Q5" s="29">
        <f>SUM(Table13[[#This Row],[ProxLenFull]:[DistLenFull]])</f>
        <v>33</v>
      </c>
      <c r="R5" s="29">
        <f>Table13[[#This Row],[FlexPerc]]*Table13[[#This Row],[ProxLenFull]]</f>
        <v>17</v>
      </c>
      <c r="S5" s="29">
        <f>(Table13[[#This Row],[IntLenFull]]*-0.75)+(Table13[[#This Row],[IntLenFull]]*Table13[[#This Row],[FlexPerc]]*1.75)</f>
        <v>11</v>
      </c>
      <c r="T5" s="29">
        <f>IF(Table13[[#This Row],[Row]]=1,(Table13[[#This Row],[DistLenFull]]*-0.75)+(Table13[[#This Row],[DistLenFull]]*Table13[[#This Row],[FlexPerc]]*1.75),Table13[[#This Row],[DistLenFull]]*(MAX(0,Table13[[#This Row],[FlexPerc]]-0.5)*4-1))</f>
        <v>5</v>
      </c>
      <c r="U5" s="29">
        <v>2.85</v>
      </c>
      <c r="V5" s="29">
        <v>72.199794136610365</v>
      </c>
      <c r="W5" s="29">
        <v>3.7</v>
      </c>
      <c r="X5" s="29">
        <v>3.45</v>
      </c>
      <c r="Y5" s="29">
        <v>20</v>
      </c>
      <c r="Z5" s="29">
        <v>8</v>
      </c>
      <c r="AA5" s="29">
        <v>2.7</v>
      </c>
      <c r="AB5" s="29">
        <v>2.75</v>
      </c>
      <c r="AC5" s="29">
        <v>16.2</v>
      </c>
      <c r="AD5" s="29">
        <v>39.199945652109704</v>
      </c>
      <c r="AE5" s="29">
        <f>Table13[[#This Row],[MCX2]]</f>
        <v>2.75</v>
      </c>
      <c r="AF5" s="29">
        <f>(Table13[[#This Row],[PhalFullExX]]-Table13[[#This Row],[PPX1]])*(Table13[[#This Row],[ProxLenAdj]]/Table13[[#This Row],[FullExtension]])+Table13[[#This Row],[PPX1]]</f>
        <v>2.8015151515151517</v>
      </c>
      <c r="AG5" s="29">
        <f>Table13[[#This Row],[MCY2]]</f>
        <v>39.199945652109704</v>
      </c>
      <c r="AH5" s="29">
        <f>(Table13[[#This Row],[PhalFullExY]]-Table13[[#This Row],[PPY1]])*(Table13[[#This Row],[ProxLenAdj]]/Table13[[#This Row],[FullExtension]])+Table13[[#This Row],[PPY1]]</f>
        <v>56.19986759867065</v>
      </c>
      <c r="AI5" s="29">
        <f>Table13[[#This Row],[PPX2]]</f>
        <v>2.8015151515151517</v>
      </c>
      <c r="AJ5" s="29">
        <f>(Table13[[#This Row],[PhalFullExX]]-Table13[[#This Row],[MCX2]])*(Table13[[#This Row],[IntLenAdj]]/Table13[[#This Row],[FullExtension]])+Table13[[#This Row],[IPX1]]</f>
        <v>2.834848484848485</v>
      </c>
      <c r="AK5" s="29">
        <f>Table13[[#This Row],[PPY2]]</f>
        <v>56.19986759867065</v>
      </c>
      <c r="AL5" s="29">
        <f>(Table13[[#This Row],[PhalFullExY]]-Table13[[#This Row],[MCY2]])*(Table13[[#This Row],[IntLenAdj]]/Table13[[#This Row],[FullExtension]])+Table13[[#This Row],[IPY1]]</f>
        <v>67.199817093504208</v>
      </c>
      <c r="AM5" s="29">
        <f>Table13[[#This Row],[IPX2]]</f>
        <v>2.834848484848485</v>
      </c>
      <c r="AN5" s="29">
        <f>(Table13[[#This Row],[PhalFullExX]]-Table13[[#This Row],[MCX2]])*(Table13[[#This Row],[DistLenAdj]]/Table13[[#This Row],[FullExtension]])+Table13[[#This Row],[DPX1]]</f>
        <v>2.85</v>
      </c>
      <c r="AO5" s="29">
        <f>Table13[[#This Row],[IPY2]]</f>
        <v>67.199817093504208</v>
      </c>
      <c r="AP5" s="29">
        <f>(Table13[[#This Row],[PhalFullExY]]-Table13[[#This Row],[MCY2]])*(Table13[[#This Row],[DistLenAdj]]/Table13[[#This Row],[FullExtension]])+Table13[[#This Row],[DPY1]]</f>
        <v>72.199794136610365</v>
      </c>
      <c r="AR5">
        <v>3</v>
      </c>
      <c r="AS5" t="str">
        <f>INDEX(Table13[Finger],Table4[[#This Row],[Num]])</f>
        <v>Middle</v>
      </c>
      <c r="AT5">
        <f>100-INDEX(Table13[FlexPerc],Table4[[#This Row],[Num]])*100</f>
        <v>0</v>
      </c>
      <c r="AU5">
        <f>100-Table4[[#This Row],[Val]]</f>
        <v>100</v>
      </c>
      <c r="AV5">
        <f>IFERROR(MIN(MAX(Table4[[#This Row],[Val]],0),100),0)</f>
        <v>0</v>
      </c>
      <c r="AW5" t="str">
        <f>IF(AND(Table4[[#This Row],[RangedVal]]&gt;=0,Table4[[#This Row],[RangedVal]]&lt;45),"e",IF(AND(Table4[[#This Row],[RangedVal]]&gt;=25,Table4[[#This Row],[RangedVal]]&lt;=100),"f","n"))</f>
        <v>e</v>
      </c>
    </row>
    <row r="6" spans="2:49" ht="22.5" customHeight="1">
      <c r="B6">
        <f>ROW()-ROW(tbl_HC[#Headers])</f>
        <v>4</v>
      </c>
      <c r="C6" t="s">
        <v>737</v>
      </c>
      <c r="D6" t="str">
        <f>TT!$O58</f>
        <v>Carpals Proxy 2</v>
      </c>
      <c r="E6">
        <f>ABS(HandSelVal-IF(tbl_HC[[#This Row],[ProperName]]=$D$3,3.2,IF(tbl_HC[[#This Row],[ProperName]]=$D$4,2.3,INDEX(Table13[],MATCH(VALUE(RIGHT(tbl_HC[[#This Row],[Object]],1)),Table13[Row],0),MATCH(LEFT(tbl_HC[[#This Row],[Object]],2)&amp;E$2,Table13[#Headers],0)))))</f>
        <v>1.9</v>
      </c>
      <c r="F6">
        <f>ABS(HandSelVal-IF(tbl_HC[[#This Row],[ProperName]]=$D$3,3.2,IF(tbl_HC[[#This Row],[ProperName]]=$D$4,2.3,INDEX(Table13[],MATCH(VALUE(RIGHT(tbl_HC[[#This Row],[Object]],1)),Table13[Row],0),MATCH(LEFT(tbl_HC[[#This Row],[Object]],2)&amp;F$2,Table13[#Headers],0)))))</f>
        <v>3.7</v>
      </c>
      <c r="G6">
        <f>IF(OR(tbl_HC[[#This Row],[ProperName]]=$D$3,tbl_HC[[#This Row],[ProperName]]=$D$4),-10,INDEX(Table13[],MATCH(VALUE(RIGHT(tbl_HC[[#This Row],[Object]],1)),Table13[Row],0),MATCH(LEFT(tbl_HC[[#This Row],[Object]],2)&amp;G$2,Table13[#Headers],0)))</f>
        <v>20</v>
      </c>
      <c r="H6">
        <f>IF(OR(tbl_HC[[#This Row],[ProperName]]=$D$3,tbl_HC[[#This Row],[ProperName]]=$D$4),14,INDEX(Table13[],MATCH(VALUE(RIGHT(tbl_HC[[#This Row],[Object]],1)),Table13[Row],0),MATCH(LEFT(tbl_HC[[#This Row],[Object]],2)&amp;H$2,Table13[#Headers],0)))</f>
        <v>20</v>
      </c>
      <c r="J6">
        <f>ROW()-ROW(Table13[#Headers])</f>
        <v>4</v>
      </c>
      <c r="K6" t="str">
        <f>TT!$O29</f>
        <v>Ring</v>
      </c>
      <c r="L6">
        <f>IF(AND($K$11,Table13[[#This Row],[Row]]&lt;&gt;2),100,INDEX('Data In'!$F$5:$J$5,Table13[[#This Row],[Row]]))</f>
        <v>0</v>
      </c>
      <c r="M6" s="28">
        <f>(100-Table13[[#This Row],[Flexion]])/100</f>
        <v>1</v>
      </c>
      <c r="N6" s="29">
        <v>15</v>
      </c>
      <c r="O6" s="29">
        <v>11</v>
      </c>
      <c r="P6" s="29">
        <v>5</v>
      </c>
      <c r="Q6" s="29">
        <f>SUM(Table13[[#This Row],[ProxLenFull]:[DistLenFull]])</f>
        <v>31</v>
      </c>
      <c r="R6" s="29">
        <f>Table13[[#This Row],[FlexPerc]]*Table13[[#This Row],[ProxLenFull]]</f>
        <v>15</v>
      </c>
      <c r="S6" s="29">
        <f>(Table13[[#This Row],[IntLenFull]]*-0.75)+(Table13[[#This Row],[IntLenFull]]*Table13[[#This Row],[FlexPerc]]*1.75)</f>
        <v>11</v>
      </c>
      <c r="T6" s="29">
        <f>IF(Table13[[#This Row],[Row]]=1,(Table13[[#This Row],[DistLenFull]]*-0.75)+(Table13[[#This Row],[DistLenFull]]*Table13[[#This Row],[FlexPerc]]*1.75),Table13[[#This Row],[DistLenFull]]*(MAX(0,Table13[[#This Row],[FlexPerc]]-0.5)*4-1))</f>
        <v>5</v>
      </c>
      <c r="U6" s="29">
        <v>3.85</v>
      </c>
      <c r="V6" s="29">
        <v>67.293485212223516</v>
      </c>
      <c r="W6" s="29">
        <v>3.45</v>
      </c>
      <c r="X6" s="29">
        <v>2.15</v>
      </c>
      <c r="Y6" s="29">
        <v>8</v>
      </c>
      <c r="Z6" s="29">
        <v>8</v>
      </c>
      <c r="AA6" s="29">
        <v>3.1</v>
      </c>
      <c r="AB6" s="29">
        <v>3.55</v>
      </c>
      <c r="AC6" s="29">
        <v>16.3</v>
      </c>
      <c r="AD6" s="29">
        <v>36.294936859115111</v>
      </c>
      <c r="AE6" s="29">
        <f>Table13[[#This Row],[MCX2]]</f>
        <v>3.55</v>
      </c>
      <c r="AF6" s="29">
        <f>(Table13[[#This Row],[PhalFullExX]]-Table13[[#This Row],[PPX1]])*(Table13[[#This Row],[ProxLenAdj]]/Table13[[#This Row],[FullExtension]])+Table13[[#This Row],[PPX1]]</f>
        <v>3.6951612903225808</v>
      </c>
      <c r="AG6" s="29">
        <f>Table13[[#This Row],[MCY2]]</f>
        <v>36.294936859115111</v>
      </c>
      <c r="AH6" s="29">
        <f>(Table13[[#This Row],[PhalFullExY]]-Table13[[#This Row],[PPY1]])*(Table13[[#This Row],[ProxLenAdj]]/Table13[[#This Row],[FullExtension]])+Table13[[#This Row],[PPY1]]</f>
        <v>51.294234449328854</v>
      </c>
      <c r="AI6" s="29">
        <f>Table13[[#This Row],[PPX2]]</f>
        <v>3.6951612903225808</v>
      </c>
      <c r="AJ6" s="29">
        <f>(Table13[[#This Row],[PhalFullExX]]-Table13[[#This Row],[MCX2]])*(Table13[[#This Row],[IntLenAdj]]/Table13[[#This Row],[FullExtension]])+Table13[[#This Row],[IPX1]]</f>
        <v>3.8016129032258066</v>
      </c>
      <c r="AK6" s="29">
        <f>Table13[[#This Row],[PPY2]]</f>
        <v>51.294234449328854</v>
      </c>
      <c r="AL6" s="29">
        <f>(Table13[[#This Row],[PhalFullExY]]-Table13[[#This Row],[MCY2]])*(Table13[[#This Row],[IntLenAdj]]/Table13[[#This Row],[FullExtension]])+Table13[[#This Row],[IPY1]]</f>
        <v>62.293719348818932</v>
      </c>
      <c r="AM6" s="29">
        <f>Table13[[#This Row],[IPX2]]</f>
        <v>3.8016129032258066</v>
      </c>
      <c r="AN6" s="29">
        <f>(Table13[[#This Row],[PhalFullExX]]-Table13[[#This Row],[MCX2]])*(Table13[[#This Row],[DistLenAdj]]/Table13[[#This Row],[FullExtension]])+Table13[[#This Row],[DPX1]]</f>
        <v>3.85</v>
      </c>
      <c r="AO6" s="29">
        <f>Table13[[#This Row],[IPY2]]</f>
        <v>62.293719348818932</v>
      </c>
      <c r="AP6" s="29">
        <f>(Table13[[#This Row],[PhalFullExY]]-Table13[[#This Row],[MCY2]])*(Table13[[#This Row],[DistLenAdj]]/Table13[[#This Row],[FullExtension]])+Table13[[#This Row],[DPY1]]</f>
        <v>67.293485212223516</v>
      </c>
      <c r="AR6">
        <f>IF(HandSel=1,4,2)</f>
        <v>4</v>
      </c>
      <c r="AS6" t="str">
        <f>INDEX(Table13[Finger],Table4[[#This Row],[Num]])</f>
        <v>Ring</v>
      </c>
      <c r="AT6">
        <f>100-INDEX(Table13[FlexPerc],Table4[[#This Row],[Num]])*100</f>
        <v>0</v>
      </c>
      <c r="AU6">
        <f>100-Table4[[#This Row],[Val]]</f>
        <v>100</v>
      </c>
      <c r="AV6">
        <f>IFERROR(MIN(MAX(Table4[[#This Row],[Val]],0),100),0)</f>
        <v>0</v>
      </c>
      <c r="AW6" t="str">
        <f>IF(AND(Table4[[#This Row],[RangedVal]]&gt;=0,Table4[[#This Row],[RangedVal]]&lt;45),"e",IF(AND(Table4[[#This Row],[RangedVal]]&gt;=25,Table4[[#This Row],[RangedVal]]&lt;=100),"f","n"))</f>
        <v>e</v>
      </c>
    </row>
    <row r="7" spans="2:49" ht="22.5" customHeight="1">
      <c r="B7">
        <f>ROW()-ROW(tbl_HC[#Headers])</f>
        <v>5</v>
      </c>
      <c r="C7" t="s">
        <v>738</v>
      </c>
      <c r="D7" t="str">
        <f>TT!$O59</f>
        <v>Carpals Proxy 3</v>
      </c>
      <c r="E7">
        <f>ABS(HandSelVal-IF(tbl_HC[[#This Row],[ProperName]]=$D$3,3.2,IF(tbl_HC[[#This Row],[ProperName]]=$D$4,2.3,INDEX(Table13[],MATCH(VALUE(RIGHT(tbl_HC[[#This Row],[Object]],1)),Table13[Row],0),MATCH(LEFT(tbl_HC[[#This Row],[Object]],2)&amp;E$2,Table13[#Headers],0)))))</f>
        <v>3.7</v>
      </c>
      <c r="F7">
        <f>ABS(HandSelVal-IF(tbl_HC[[#This Row],[ProperName]]=$D$3,3.2,IF(tbl_HC[[#This Row],[ProperName]]=$D$4,2.3,INDEX(Table13[],MATCH(VALUE(RIGHT(tbl_HC[[#This Row],[Object]],1)),Table13[Row],0),MATCH(LEFT(tbl_HC[[#This Row],[Object]],2)&amp;F$2,Table13[#Headers],0)))))</f>
        <v>3.45</v>
      </c>
      <c r="G7">
        <f>IF(OR(tbl_HC[[#This Row],[ProperName]]=$D$3,tbl_HC[[#This Row],[ProperName]]=$D$4),-10,INDEX(Table13[],MATCH(VALUE(RIGHT(tbl_HC[[#This Row],[Object]],1)),Table13[Row],0),MATCH(LEFT(tbl_HC[[#This Row],[Object]],2)&amp;G$2,Table13[#Headers],0)))</f>
        <v>20</v>
      </c>
      <c r="H7">
        <f>IF(OR(tbl_HC[[#This Row],[ProperName]]=$D$3,tbl_HC[[#This Row],[ProperName]]=$D$4),14,INDEX(Table13[],MATCH(VALUE(RIGHT(tbl_HC[[#This Row],[Object]],1)),Table13[Row],0),MATCH(LEFT(tbl_HC[[#This Row],[Object]],2)&amp;H$2,Table13[#Headers],0)))</f>
        <v>8</v>
      </c>
      <c r="J7">
        <f>ROW()-ROW(Table13[#Headers])</f>
        <v>5</v>
      </c>
      <c r="K7" t="str">
        <f>TT!$O30</f>
        <v>Pinky</v>
      </c>
      <c r="L7">
        <f>IF(AND($K$11,Table13[[#This Row],[Row]]&lt;&gt;2),100,INDEX('Data In'!$F$5:$J$5,Table13[[#This Row],[Row]]))</f>
        <v>0</v>
      </c>
      <c r="M7" s="28">
        <f>(100-Table13[[#This Row],[Flexion]])/100</f>
        <v>1</v>
      </c>
      <c r="N7" s="29">
        <v>11</v>
      </c>
      <c r="O7" s="29">
        <v>7</v>
      </c>
      <c r="P7" s="29">
        <v>4</v>
      </c>
      <c r="Q7" s="29">
        <f>SUM(Table13[[#This Row],[ProxLenFull]:[DistLenFull]])</f>
        <v>22</v>
      </c>
      <c r="R7" s="29">
        <f>Table13[[#This Row],[FlexPerc]]*Table13[[#This Row],[ProxLenFull]]</f>
        <v>11</v>
      </c>
      <c r="S7" s="29">
        <f>(Table13[[#This Row],[IntLenFull]]*-0.75)+(Table13[[#This Row],[IntLenFull]]*Table13[[#This Row],[FlexPerc]]*1.75)</f>
        <v>7</v>
      </c>
      <c r="T7" s="29">
        <f>IF(Table13[[#This Row],[Row]]=1,(Table13[[#This Row],[DistLenFull]]*-0.75)+(Table13[[#This Row],[DistLenFull]]*Table13[[#This Row],[FlexPerc]]*1.75),Table13[[#This Row],[DistLenFull]]*(MAX(0,Table13[[#This Row],[FlexPerc]]-0.5)*4-1))</f>
        <v>4</v>
      </c>
      <c r="U7" s="29">
        <v>4.75</v>
      </c>
      <c r="V7" s="29">
        <v>52.976496825548296</v>
      </c>
      <c r="W7" s="29">
        <v>2.6999999999999997</v>
      </c>
      <c r="X7" s="29">
        <v>2.9</v>
      </c>
      <c r="Y7" s="29">
        <v>14</v>
      </c>
      <c r="Z7" s="29">
        <v>14</v>
      </c>
      <c r="AA7" s="29">
        <v>3.45</v>
      </c>
      <c r="AB7" s="29">
        <v>4.1500000000000004</v>
      </c>
      <c r="AC7" s="29">
        <v>15</v>
      </c>
      <c r="AD7" s="29">
        <v>30.984680165708667</v>
      </c>
      <c r="AE7" s="29">
        <f>Table13[[#This Row],[MCX2]]</f>
        <v>4.1500000000000004</v>
      </c>
      <c r="AF7" s="29">
        <f>(Table13[[#This Row],[PhalFullExX]]-Table13[[#This Row],[PPX1]])*(Table13[[#This Row],[ProxLenAdj]]/Table13[[#This Row],[FullExtension]])+Table13[[#This Row],[PPX1]]</f>
        <v>4.45</v>
      </c>
      <c r="AG7" s="29">
        <f>Table13[[#This Row],[MCY2]]</f>
        <v>30.984680165708667</v>
      </c>
      <c r="AH7" s="29">
        <f>(Table13[[#This Row],[PhalFullExY]]-Table13[[#This Row],[PPY1]])*(Table13[[#This Row],[ProxLenAdj]]/Table13[[#This Row],[FullExtension]])+Table13[[#This Row],[PPY1]]</f>
        <v>41.980588495628481</v>
      </c>
      <c r="AI7" s="29">
        <f>Table13[[#This Row],[PPX2]]</f>
        <v>4.45</v>
      </c>
      <c r="AJ7" s="29">
        <f>(Table13[[#This Row],[PhalFullExX]]-Table13[[#This Row],[MCX2]])*(Table13[[#This Row],[IntLenAdj]]/Table13[[#This Row],[FullExtension]])+Table13[[#This Row],[IPX1]]</f>
        <v>4.6409090909090907</v>
      </c>
      <c r="AK7" s="29">
        <f>Table13[[#This Row],[PPY2]]</f>
        <v>41.980588495628481</v>
      </c>
      <c r="AL7" s="29">
        <f>(Table13[[#This Row],[PhalFullExY]]-Table13[[#This Row],[MCY2]])*(Table13[[#This Row],[IntLenAdj]]/Table13[[#This Row],[FullExtension]])+Table13[[#This Row],[IPY1]]</f>
        <v>48.977984705577455</v>
      </c>
      <c r="AM7" s="29">
        <f>Table13[[#This Row],[IPX2]]</f>
        <v>4.6409090909090907</v>
      </c>
      <c r="AN7" s="29">
        <f>(Table13[[#This Row],[PhalFullExX]]-Table13[[#This Row],[MCX2]])*(Table13[[#This Row],[DistLenAdj]]/Table13[[#This Row],[FullExtension]])+Table13[[#This Row],[DPX1]]</f>
        <v>4.75</v>
      </c>
      <c r="AO7" s="29">
        <f>Table13[[#This Row],[IPY2]]</f>
        <v>48.977984705577455</v>
      </c>
      <c r="AP7" s="29">
        <f>(Table13[[#This Row],[PhalFullExY]]-Table13[[#This Row],[MCY2]])*(Table13[[#This Row],[DistLenAdj]]/Table13[[#This Row],[FullExtension]])+Table13[[#This Row],[DPY1]]</f>
        <v>52.976496825548296</v>
      </c>
      <c r="AR7">
        <f>IF(HandSel=1,5,1)</f>
        <v>5</v>
      </c>
      <c r="AS7" t="str">
        <f>INDEX(Table13[Finger],Table4[[#This Row],[Num]])</f>
        <v>Pinky</v>
      </c>
      <c r="AT7">
        <f>100-INDEX(Table13[FlexPerc],Table4[[#This Row],[Num]])*100</f>
        <v>0</v>
      </c>
      <c r="AU7">
        <f>100-Table4[[#This Row],[Val]]</f>
        <v>100</v>
      </c>
      <c r="AV7">
        <f>IFERROR(MIN(MAX(Table4[[#This Row],[Val]],0),100),0)</f>
        <v>0</v>
      </c>
      <c r="AW7" t="str">
        <f>IF(AND(Table4[[#This Row],[RangedVal]]&gt;=0,Table4[[#This Row],[RangedVal]]&lt;45),"e",IF(AND(Table4[[#This Row],[RangedVal]]&gt;=25,Table4[[#This Row],[RangedVal]]&lt;=100),"f","n"))</f>
        <v>e</v>
      </c>
    </row>
    <row r="8" spans="2:49" ht="22.5" customHeight="1">
      <c r="B8">
        <f>ROW()-ROW(tbl_HC[#Headers])</f>
        <v>6</v>
      </c>
      <c r="C8" t="s">
        <v>739</v>
      </c>
      <c r="D8" t="str">
        <f>TT!$O60</f>
        <v>Carpals Proxy 4</v>
      </c>
      <c r="E8">
        <f>ABS(HandSelVal-IF(tbl_HC[[#This Row],[ProperName]]=$D$3,3.2,IF(tbl_HC[[#This Row],[ProperName]]=$D$4,2.3,INDEX(Table13[],MATCH(VALUE(RIGHT(tbl_HC[[#This Row],[Object]],1)),Table13[Row],0),MATCH(LEFT(tbl_HC[[#This Row],[Object]],2)&amp;E$2,Table13[#Headers],0)))))</f>
        <v>3.45</v>
      </c>
      <c r="F8">
        <f>ABS(HandSelVal-IF(tbl_HC[[#This Row],[ProperName]]=$D$3,3.2,IF(tbl_HC[[#This Row],[ProperName]]=$D$4,2.3,INDEX(Table13[],MATCH(VALUE(RIGHT(tbl_HC[[#This Row],[Object]],1)),Table13[Row],0),MATCH(LEFT(tbl_HC[[#This Row],[Object]],2)&amp;F$2,Table13[#Headers],0)))))</f>
        <v>2.15</v>
      </c>
      <c r="G8">
        <f>IF(OR(tbl_HC[[#This Row],[ProperName]]=$D$3,tbl_HC[[#This Row],[ProperName]]=$D$4),-10,INDEX(Table13[],MATCH(VALUE(RIGHT(tbl_HC[[#This Row],[Object]],1)),Table13[Row],0),MATCH(LEFT(tbl_HC[[#This Row],[Object]],2)&amp;G$2,Table13[#Headers],0)))</f>
        <v>8</v>
      </c>
      <c r="H8">
        <f>IF(OR(tbl_HC[[#This Row],[ProperName]]=$D$3,tbl_HC[[#This Row],[ProperName]]=$D$4),14,INDEX(Table13[],MATCH(VALUE(RIGHT(tbl_HC[[#This Row],[Object]],1)),Table13[Row],0),MATCH(LEFT(tbl_HC[[#This Row],[Object]],2)&amp;H$2,Table13[#Headers],0)))</f>
        <v>8</v>
      </c>
    </row>
    <row r="9" spans="2:49" ht="22.5" customHeight="1">
      <c r="B9">
        <f>ROW()-ROW(tbl_HC[#Headers])</f>
        <v>7</v>
      </c>
      <c r="C9" t="s">
        <v>740</v>
      </c>
      <c r="D9" t="str">
        <f>TT!$O61</f>
        <v>Carpals Proxy 5</v>
      </c>
      <c r="E9">
        <f>ABS(HandSelVal-IF(tbl_HC[[#This Row],[ProperName]]=$D$3,3.2,IF(tbl_HC[[#This Row],[ProperName]]=$D$4,2.3,INDEX(Table13[],MATCH(VALUE(RIGHT(tbl_HC[[#This Row],[Object]],1)),Table13[Row],0),MATCH(LEFT(tbl_HC[[#This Row],[Object]],2)&amp;E$2,Table13[#Headers],0)))))</f>
        <v>2.6999999999999997</v>
      </c>
      <c r="F9">
        <f>ABS(HandSelVal-IF(tbl_HC[[#This Row],[ProperName]]=$D$3,3.2,IF(tbl_HC[[#This Row],[ProperName]]=$D$4,2.3,INDEX(Table13[],MATCH(VALUE(RIGHT(tbl_HC[[#This Row],[Object]],1)),Table13[Row],0),MATCH(LEFT(tbl_HC[[#This Row],[Object]],2)&amp;F$2,Table13[#Headers],0)))))</f>
        <v>2.9</v>
      </c>
      <c r="G9">
        <f>IF(OR(tbl_HC[[#This Row],[ProperName]]=$D$3,tbl_HC[[#This Row],[ProperName]]=$D$4),-10,INDEX(Table13[],MATCH(VALUE(RIGHT(tbl_HC[[#This Row],[Object]],1)),Table13[Row],0),MATCH(LEFT(tbl_HC[[#This Row],[Object]],2)&amp;G$2,Table13[#Headers],0)))</f>
        <v>14</v>
      </c>
      <c r="H9">
        <f>IF(OR(tbl_HC[[#This Row],[ProperName]]=$D$3,tbl_HC[[#This Row],[ProperName]]=$D$4),14,INDEX(Table13[],MATCH(VALUE(RIGHT(tbl_HC[[#This Row],[Object]],1)),Table13[Row],0),MATCH(LEFT(tbl_HC[[#This Row],[Object]],2)&amp;H$2,Table13[#Headers],0)))</f>
        <v>14</v>
      </c>
      <c r="J9" t="s">
        <v>741</v>
      </c>
      <c r="K9">
        <v>1</v>
      </c>
    </row>
    <row r="10" spans="2:49" ht="22.5" customHeight="1">
      <c r="B10">
        <f>ROW()-ROW(tbl_HC[#Headers])</f>
        <v>8</v>
      </c>
      <c r="C10" t="s">
        <v>742</v>
      </c>
      <c r="D10" t="str">
        <f>TT!$O62</f>
        <v>Distal Phalanges (T)</v>
      </c>
      <c r="E10">
        <f>ABS(HandSelVal-IF(tbl_HC[[#This Row],[ProperName]]=$D$3,3.2,IF(tbl_HC[[#This Row],[ProperName]]=$D$4,2.3,INDEX(Table13[],MATCH(VALUE(RIGHT(tbl_HC[[#This Row],[Object]],1)),Table13[Row],0),MATCH(LEFT(tbl_HC[[#This Row],[Object]],2)&amp;E$2,Table13[#Headers],0)))))</f>
        <v>2</v>
      </c>
      <c r="F10">
        <f>ABS(HandSelVal-IF(tbl_HC[[#This Row],[ProperName]]=$D$3,3.2,IF(tbl_HC[[#This Row],[ProperName]]=$D$4,2.3,INDEX(Table13[],MATCH(VALUE(RIGHT(tbl_HC[[#This Row],[Object]],1)),Table13[Row],0),MATCH(LEFT(tbl_HC[[#This Row],[Object]],2)&amp;F$2,Table13[#Headers],0)))))</f>
        <v>0.75</v>
      </c>
      <c r="G10">
        <f>IF(OR(tbl_HC[[#This Row],[ProperName]]=$D$3,tbl_HC[[#This Row],[ProperName]]=$D$4),-10,INDEX(Table13[],MATCH(VALUE(RIGHT(tbl_HC[[#This Row],[Object]],1)),Table13[Row],0),MATCH(LEFT(tbl_HC[[#This Row],[Object]],2)&amp;G$2,Table13[#Headers],0)))</f>
        <v>14</v>
      </c>
      <c r="H10">
        <f>IF(OR(tbl_HC[[#This Row],[ProperName]]=$D$3,tbl_HC[[#This Row],[ProperName]]=$D$4),14,INDEX(Table13[],MATCH(VALUE(RIGHT(tbl_HC[[#This Row],[Object]],1)),Table13[Row],0),MATCH(LEFT(tbl_HC[[#This Row],[Object]],2)&amp;H$2,Table13[#Headers],0)))</f>
        <v>26.939764294607535</v>
      </c>
      <c r="J10" t="s">
        <v>743</v>
      </c>
      <c r="K10">
        <f>5*(1-HandSel)</f>
        <v>0</v>
      </c>
    </row>
    <row r="11" spans="2:49" ht="22.5" customHeight="1">
      <c r="B11">
        <f>ROW()-ROW(tbl_HC[#Headers])</f>
        <v>9</v>
      </c>
      <c r="C11" t="s">
        <v>744</v>
      </c>
      <c r="D11" t="str">
        <f>TT!$O63</f>
        <v>Middle Phalanges (T)</v>
      </c>
      <c r="E11">
        <f>ABS(HandSelVal-IF(tbl_HC[[#This Row],[ProperName]]=$D$3,3.2,IF(tbl_HC[[#This Row],[ProperName]]=$D$4,2.3,INDEX(Table13[],MATCH(VALUE(RIGHT(tbl_HC[[#This Row],[Object]],1)),Table13[Row],0),MATCH(LEFT(tbl_HC[[#This Row],[Object]],2)&amp;E$2,Table13[#Headers],0)))))</f>
        <v>0.75</v>
      </c>
      <c r="F11">
        <f>ABS(HandSelVal-IF(tbl_HC[[#This Row],[ProperName]]=$D$3,3.2,IF(tbl_HC[[#This Row],[ProperName]]=$D$4,2.3,INDEX(Table13[],MATCH(VALUE(RIGHT(tbl_HC[[#This Row],[Object]],1)),Table13[Row],0),MATCH(LEFT(tbl_HC[[#This Row],[Object]],2)&amp;F$2,Table13[#Headers],0)))))</f>
        <v>0.43181818181818182</v>
      </c>
      <c r="G11">
        <f>IF(OR(tbl_HC[[#This Row],[ProperName]]=$D$3,tbl_HC[[#This Row],[ProperName]]=$D$4),-10,INDEX(Table13[],MATCH(VALUE(RIGHT(tbl_HC[[#This Row],[Object]],1)),Table13[Row],0),MATCH(LEFT(tbl_HC[[#This Row],[Object]],2)&amp;G$2,Table13[#Headers],0)))</f>
        <v>26.939764294607535</v>
      </c>
      <c r="H11">
        <f>IF(OR(tbl_HC[[#This Row],[ProperName]]=$D$3,tbl_HC[[#This Row],[ProperName]]=$D$4),14,INDEX(Table13[],MATCH(VALUE(RIGHT(tbl_HC[[#This Row],[Object]],1)),Table13[Row],0),MATCH(LEFT(tbl_HC[[#This Row],[Object]],2)&amp;H$2,Table13[#Headers],0)))</f>
        <v>37.434942250725214</v>
      </c>
      <c r="J11" t="s">
        <v>745</v>
      </c>
      <c r="K11" t="b">
        <v>0</v>
      </c>
    </row>
    <row r="12" spans="2:49" ht="22.5" customHeight="1">
      <c r="B12">
        <f>ROW()-ROW(tbl_HC[#Headers])</f>
        <v>10</v>
      </c>
      <c r="C12" t="s">
        <v>746</v>
      </c>
      <c r="D12" t="str">
        <f>TT!$O64</f>
        <v>Proximal Phalanges (T)</v>
      </c>
      <c r="E12">
        <f>ABS(HandSelVal-IF(tbl_HC[[#This Row],[ProperName]]=$D$3,3.2,IF(tbl_HC[[#This Row],[ProperName]]=$D$4,2.3,INDEX(Table13[],MATCH(VALUE(RIGHT(tbl_HC[[#This Row],[Object]],1)),Table13[Row],0),MATCH(LEFT(tbl_HC[[#This Row],[Object]],2)&amp;E$2,Table13[#Headers],0)))))</f>
        <v>0.43181818181818182</v>
      </c>
      <c r="F12">
        <f>ABS(HandSelVal-IF(tbl_HC[[#This Row],[ProperName]]=$D$3,3.2,IF(tbl_HC[[#This Row],[ProperName]]=$D$4,2.3,INDEX(Table13[],MATCH(VALUE(RIGHT(tbl_HC[[#This Row],[Object]],1)),Table13[Row],0),MATCH(LEFT(tbl_HC[[#This Row],[Object]],2)&amp;F$2,Table13[#Headers],0)))))</f>
        <v>0.43181818181818182</v>
      </c>
      <c r="G12">
        <f>IF(OR(tbl_HC[[#This Row],[ProperName]]=$D$3,tbl_HC[[#This Row],[ProperName]]=$D$4),-10,INDEX(Table13[],MATCH(VALUE(RIGHT(tbl_HC[[#This Row],[Object]],1)),Table13[Row],0),MATCH(LEFT(tbl_HC[[#This Row],[Object]],2)&amp;G$2,Table13[#Headers],0)))</f>
        <v>37.434942250725214</v>
      </c>
      <c r="H12">
        <f>IF(OR(tbl_HC[[#This Row],[ProperName]]=$D$3,tbl_HC[[#This Row],[ProperName]]=$D$4),14,INDEX(Table13[],MATCH(VALUE(RIGHT(tbl_HC[[#This Row],[Object]],1)),Table13[Row],0),MATCH(LEFT(tbl_HC[[#This Row],[Object]],2)&amp;H$2,Table13[#Headers],0)))</f>
        <v>37.434942250725214</v>
      </c>
    </row>
    <row r="13" spans="2:49" ht="22.5" customHeight="1">
      <c r="B13">
        <f>ROW()-ROW(tbl_HC[#Headers])</f>
        <v>11</v>
      </c>
      <c r="C13" t="s">
        <v>747</v>
      </c>
      <c r="D13" t="str">
        <f>TT!$O65</f>
        <v>Metacarpals (T)</v>
      </c>
      <c r="E13">
        <f>ABS(HandSelVal-IF(tbl_HC[[#This Row],[ProperName]]=$D$3,3.2,IF(tbl_HC[[#This Row],[ProperName]]=$D$4,2.3,INDEX(Table13[],MATCH(VALUE(RIGHT(tbl_HC[[#This Row],[Object]],1)),Table13[Row],0),MATCH(LEFT(tbl_HC[[#This Row],[Object]],2)&amp;E$2,Table13[#Headers],0)))))</f>
        <v>0.43181818181818182</v>
      </c>
      <c r="F13">
        <f>ABS(HandSelVal-IF(tbl_HC[[#This Row],[ProperName]]=$D$3,3.2,IF(tbl_HC[[#This Row],[ProperName]]=$D$4,2.3,INDEX(Table13[],MATCH(VALUE(RIGHT(tbl_HC[[#This Row],[Object]],1)),Table13[Row],0),MATCH(LEFT(tbl_HC[[#This Row],[Object]],2)&amp;F$2,Table13[#Headers],0)))))</f>
        <v>0.25</v>
      </c>
      <c r="G13">
        <f>IF(OR(tbl_HC[[#This Row],[ProperName]]=$D$3,tbl_HC[[#This Row],[ProperName]]=$D$4),-10,INDEX(Table13[],MATCH(VALUE(RIGHT(tbl_HC[[#This Row],[Object]],1)),Table13[Row],0),MATCH(LEFT(tbl_HC[[#This Row],[Object]],2)&amp;G$2,Table13[#Headers],0)))</f>
        <v>37.434942250725214</v>
      </c>
      <c r="H13">
        <f>IF(OR(tbl_HC[[#This Row],[ProperName]]=$D$3,tbl_HC[[#This Row],[ProperName]]=$D$4),14,INDEX(Table13[],MATCH(VALUE(RIGHT(tbl_HC[[#This Row],[Object]],1)),Table13[Row],0),MATCH(LEFT(tbl_HC[[#This Row],[Object]],2)&amp;H$2,Table13[#Headers],0)))</f>
        <v>43.432186797078174</v>
      </c>
    </row>
    <row r="14" spans="2:49" ht="22.5" customHeight="1">
      <c r="B14">
        <f>ROW()-ROW(tbl_HC[#Headers])</f>
        <v>12</v>
      </c>
      <c r="C14" t="s">
        <v>748</v>
      </c>
      <c r="D14" t="str">
        <f>TT!$O66</f>
        <v>Distal Phalanges (I)</v>
      </c>
      <c r="E14">
        <f>ABS(HandSelVal-IF(tbl_HC[[#This Row],[ProperName]]=$D$3,3.2,IF(tbl_HC[[#This Row],[ProperName]]=$D$4,2.3,INDEX(Table13[],MATCH(VALUE(RIGHT(tbl_HC[[#This Row],[Object]],1)),Table13[Row],0),MATCH(LEFT(tbl_HC[[#This Row],[Object]],2)&amp;E$2,Table13[#Headers],0)))))</f>
        <v>2.25</v>
      </c>
      <c r="F14">
        <f>ABS(HandSelVal-IF(tbl_HC[[#This Row],[ProperName]]=$D$3,3.2,IF(tbl_HC[[#This Row],[ProperName]]=$D$4,2.3,INDEX(Table13[],MATCH(VALUE(RIGHT(tbl_HC[[#This Row],[Object]],1)),Table13[Row],0),MATCH(LEFT(tbl_HC[[#This Row],[Object]],2)&amp;F$2,Table13[#Headers],0)))))</f>
        <v>1.9</v>
      </c>
      <c r="G14">
        <f>IF(OR(tbl_HC[[#This Row],[ProperName]]=$D$3,tbl_HC[[#This Row],[ProperName]]=$D$4),-10,INDEX(Table13[],MATCH(VALUE(RIGHT(tbl_HC[[#This Row],[Object]],1)),Table13[Row],0),MATCH(LEFT(tbl_HC[[#This Row],[Object]],2)&amp;G$2,Table13[#Headers],0)))</f>
        <v>16</v>
      </c>
      <c r="H14">
        <f>IF(OR(tbl_HC[[#This Row],[ProperName]]=$D$3,tbl_HC[[#This Row],[ProperName]]=$D$4),14,INDEX(Table13[],MATCH(VALUE(RIGHT(tbl_HC[[#This Row],[Object]],1)),Table13[Row],0),MATCH(LEFT(tbl_HC[[#This Row],[Object]],2)&amp;H$2,Table13[#Headers],0)))</f>
        <v>38.99733680233431</v>
      </c>
    </row>
    <row r="15" spans="2:49" ht="22.5" customHeight="1">
      <c r="B15">
        <f>ROW()-ROW(tbl_HC[#Headers])</f>
        <v>13</v>
      </c>
      <c r="C15" t="s">
        <v>749</v>
      </c>
      <c r="D15" t="str">
        <f>TT!$O67</f>
        <v>Middle Phalanges (I)</v>
      </c>
      <c r="E15">
        <f>ABS(HandSelVal-IF(tbl_HC[[#This Row],[ProperName]]=$D$3,3.2,IF(tbl_HC[[#This Row],[ProperName]]=$D$4,2.3,INDEX(Table13[],MATCH(VALUE(RIGHT(tbl_HC[[#This Row],[Object]],1)),Table13[Row],0),MATCH(LEFT(tbl_HC[[#This Row],[Object]],2)&amp;E$2,Table13[#Headers],0)))))</f>
        <v>1.9</v>
      </c>
      <c r="F15">
        <f>ABS(HandSelVal-IF(tbl_HC[[#This Row],[ProperName]]=$D$3,3.2,IF(tbl_HC[[#This Row],[ProperName]]=$D$4,2.3,INDEX(Table13[],MATCH(VALUE(RIGHT(tbl_HC[[#This Row],[Object]],1)),Table13[Row],0),MATCH(LEFT(tbl_HC[[#This Row],[Object]],2)&amp;F$2,Table13[#Headers],0)))))</f>
        <v>1.8224137931034483</v>
      </c>
      <c r="G15">
        <f>IF(OR(tbl_HC[[#This Row],[ProperName]]=$D$3,tbl_HC[[#This Row],[ProperName]]=$D$4),-10,INDEX(Table13[],MATCH(VALUE(RIGHT(tbl_HC[[#This Row],[Object]],1)),Table13[Row],0),MATCH(LEFT(tbl_HC[[#This Row],[Object]],2)&amp;G$2,Table13[#Headers],0)))</f>
        <v>38.99733680233431</v>
      </c>
      <c r="H15">
        <f>IF(OR(tbl_HC[[#This Row],[ProperName]]=$D$3,tbl_HC[[#This Row],[ProperName]]=$D$4),14,INDEX(Table13[],MATCH(VALUE(RIGHT(tbl_HC[[#This Row],[Object]],1)),Table13[Row],0),MATCH(LEFT(tbl_HC[[#This Row],[Object]],2)&amp;H$2,Table13[#Headers],0)))</f>
        <v>53.997136147008874</v>
      </c>
    </row>
    <row r="16" spans="2:49" ht="22.5" customHeight="1">
      <c r="B16">
        <f>ROW()-ROW(tbl_HC[#Headers])</f>
        <v>14</v>
      </c>
      <c r="C16" t="s">
        <v>750</v>
      </c>
      <c r="D16" t="str">
        <f>TT!$O68</f>
        <v>Proximal Phalanges (I)</v>
      </c>
      <c r="E16">
        <f>ABS(HandSelVal-IF(tbl_HC[[#This Row],[ProperName]]=$D$3,3.2,IF(tbl_HC[[#This Row],[ProperName]]=$D$4,2.3,INDEX(Table13[],MATCH(VALUE(RIGHT(tbl_HC[[#This Row],[Object]],1)),Table13[Row],0),MATCH(LEFT(tbl_HC[[#This Row],[Object]],2)&amp;E$2,Table13[#Headers],0)))))</f>
        <v>1.8224137931034483</v>
      </c>
      <c r="F16">
        <f>ABS(HandSelVal-IF(tbl_HC[[#This Row],[ProperName]]=$D$3,3.2,IF(tbl_HC[[#This Row],[ProperName]]=$D$4,2.3,INDEX(Table13[],MATCH(VALUE(RIGHT(tbl_HC[[#This Row],[Object]],1)),Table13[Row],0),MATCH(LEFT(tbl_HC[[#This Row],[Object]],2)&amp;F$2,Table13[#Headers],0)))))</f>
        <v>1.7758620689655173</v>
      </c>
      <c r="G16">
        <f>IF(OR(tbl_HC[[#This Row],[ProperName]]=$D$3,tbl_HC[[#This Row],[ProperName]]=$D$4),-10,INDEX(Table13[],MATCH(VALUE(RIGHT(tbl_HC[[#This Row],[Object]],1)),Table13[Row],0),MATCH(LEFT(tbl_HC[[#This Row],[Object]],2)&amp;G$2,Table13[#Headers],0)))</f>
        <v>53.997136147008874</v>
      </c>
      <c r="H16">
        <f>IF(OR(tbl_HC[[#This Row],[ProperName]]=$D$3,tbl_HC[[#This Row],[ProperName]]=$D$4),14,INDEX(Table13[],MATCH(VALUE(RIGHT(tbl_HC[[#This Row],[Object]],1)),Table13[Row],0),MATCH(LEFT(tbl_HC[[#This Row],[Object]],2)&amp;H$2,Table13[#Headers],0)))</f>
        <v>62.997015753813614</v>
      </c>
    </row>
    <row r="17" spans="2:8" ht="22.5" customHeight="1">
      <c r="B17">
        <f>ROW()-ROW(tbl_HC[#Headers])</f>
        <v>15</v>
      </c>
      <c r="C17" t="s">
        <v>751</v>
      </c>
      <c r="D17" t="str">
        <f>TT!$O69</f>
        <v>Metacarpals (I)</v>
      </c>
      <c r="E17">
        <f>ABS(HandSelVal-IF(tbl_HC[[#This Row],[ProperName]]=$D$3,3.2,IF(tbl_HC[[#This Row],[ProperName]]=$D$4,2.3,INDEX(Table13[],MATCH(VALUE(RIGHT(tbl_HC[[#This Row],[Object]],1)),Table13[Row],0),MATCH(LEFT(tbl_HC[[#This Row],[Object]],2)&amp;E$2,Table13[#Headers],0)))))</f>
        <v>1.7758620689655173</v>
      </c>
      <c r="F17">
        <f>ABS(HandSelVal-IF(tbl_HC[[#This Row],[ProperName]]=$D$3,3.2,IF(tbl_HC[[#This Row],[ProperName]]=$D$4,2.3,INDEX(Table13[],MATCH(VALUE(RIGHT(tbl_HC[[#This Row],[Object]],1)),Table13[Row],0),MATCH(LEFT(tbl_HC[[#This Row],[Object]],2)&amp;F$2,Table13[#Headers],0)))))</f>
        <v>1.7500000000000002</v>
      </c>
      <c r="G17">
        <f>IF(OR(tbl_HC[[#This Row],[ProperName]]=$D$3,tbl_HC[[#This Row],[ProperName]]=$D$4),-10,INDEX(Table13[],MATCH(VALUE(RIGHT(tbl_HC[[#This Row],[Object]],1)),Table13[Row],0),MATCH(LEFT(tbl_HC[[#This Row],[Object]],2)&amp;G$2,Table13[#Headers],0)))</f>
        <v>62.997015753813614</v>
      </c>
      <c r="H17">
        <f>IF(OR(tbl_HC[[#This Row],[ProperName]]=$D$3,tbl_HC[[#This Row],[ProperName]]=$D$4),14,INDEX(Table13[],MATCH(VALUE(RIGHT(tbl_HC[[#This Row],[Object]],1)),Table13[Row],0),MATCH(LEFT(tbl_HC[[#This Row],[Object]],2)&amp;H$2,Table13[#Headers],0)))</f>
        <v>67.996948868705132</v>
      </c>
    </row>
    <row r="18" spans="2:8" ht="22.5" customHeight="1">
      <c r="B18">
        <f>ROW()-ROW(tbl_HC[#Headers])</f>
        <v>16</v>
      </c>
      <c r="C18" t="s">
        <v>752</v>
      </c>
      <c r="D18" t="str">
        <f>TT!$O70</f>
        <v>Distal Phalanges (M)</v>
      </c>
      <c r="E18">
        <f>ABS(HandSelVal-IF(tbl_HC[[#This Row],[ProperName]]=$D$3,3.2,IF(tbl_HC[[#This Row],[ProperName]]=$D$4,2.3,INDEX(Table13[],MATCH(VALUE(RIGHT(tbl_HC[[#This Row],[Object]],1)),Table13[Row],0),MATCH(LEFT(tbl_HC[[#This Row],[Object]],2)&amp;E$2,Table13[#Headers],0)))))</f>
        <v>2.7</v>
      </c>
      <c r="F18">
        <f>ABS(HandSelVal-IF(tbl_HC[[#This Row],[ProperName]]=$D$3,3.2,IF(tbl_HC[[#This Row],[ProperName]]=$D$4,2.3,INDEX(Table13[],MATCH(VALUE(RIGHT(tbl_HC[[#This Row],[Object]],1)),Table13[Row],0),MATCH(LEFT(tbl_HC[[#This Row],[Object]],2)&amp;F$2,Table13[#Headers],0)))))</f>
        <v>2.75</v>
      </c>
      <c r="G18">
        <f>IF(OR(tbl_HC[[#This Row],[ProperName]]=$D$3,tbl_HC[[#This Row],[ProperName]]=$D$4),-10,INDEX(Table13[],MATCH(VALUE(RIGHT(tbl_HC[[#This Row],[Object]],1)),Table13[Row],0),MATCH(LEFT(tbl_HC[[#This Row],[Object]],2)&amp;G$2,Table13[#Headers],0)))</f>
        <v>16.2</v>
      </c>
      <c r="H18">
        <f>IF(OR(tbl_HC[[#This Row],[ProperName]]=$D$3,tbl_HC[[#This Row],[ProperName]]=$D$4),14,INDEX(Table13[],MATCH(VALUE(RIGHT(tbl_HC[[#This Row],[Object]],1)),Table13[Row],0),MATCH(LEFT(tbl_HC[[#This Row],[Object]],2)&amp;H$2,Table13[#Headers],0)))</f>
        <v>39.199945652109704</v>
      </c>
    </row>
    <row r="19" spans="2:8" ht="22.5" customHeight="1">
      <c r="B19">
        <f>ROW()-ROW(tbl_HC[#Headers])</f>
        <v>17</v>
      </c>
      <c r="C19" t="s">
        <v>753</v>
      </c>
      <c r="D19" t="str">
        <f>TT!$O71</f>
        <v>Middle Phalanges (M)</v>
      </c>
      <c r="E19">
        <f>ABS(HandSelVal-IF(tbl_HC[[#This Row],[ProperName]]=$D$3,3.2,IF(tbl_HC[[#This Row],[ProperName]]=$D$4,2.3,INDEX(Table13[],MATCH(VALUE(RIGHT(tbl_HC[[#This Row],[Object]],1)),Table13[Row],0),MATCH(LEFT(tbl_HC[[#This Row],[Object]],2)&amp;E$2,Table13[#Headers],0)))))</f>
        <v>2.75</v>
      </c>
      <c r="F19">
        <f>ABS(HandSelVal-IF(tbl_HC[[#This Row],[ProperName]]=$D$3,3.2,IF(tbl_HC[[#This Row],[ProperName]]=$D$4,2.3,INDEX(Table13[],MATCH(VALUE(RIGHT(tbl_HC[[#This Row],[Object]],1)),Table13[Row],0),MATCH(LEFT(tbl_HC[[#This Row],[Object]],2)&amp;F$2,Table13[#Headers],0)))))</f>
        <v>2.8015151515151517</v>
      </c>
      <c r="G19">
        <f>IF(OR(tbl_HC[[#This Row],[ProperName]]=$D$3,tbl_HC[[#This Row],[ProperName]]=$D$4),-10,INDEX(Table13[],MATCH(VALUE(RIGHT(tbl_HC[[#This Row],[Object]],1)),Table13[Row],0),MATCH(LEFT(tbl_HC[[#This Row],[Object]],2)&amp;G$2,Table13[#Headers],0)))</f>
        <v>39.199945652109704</v>
      </c>
      <c r="H19">
        <f>IF(OR(tbl_HC[[#This Row],[ProperName]]=$D$3,tbl_HC[[#This Row],[ProperName]]=$D$4),14,INDEX(Table13[],MATCH(VALUE(RIGHT(tbl_HC[[#This Row],[Object]],1)),Table13[Row],0),MATCH(LEFT(tbl_HC[[#This Row],[Object]],2)&amp;H$2,Table13[#Headers],0)))</f>
        <v>56.19986759867065</v>
      </c>
    </row>
    <row r="20" spans="2:8" ht="22.5" customHeight="1">
      <c r="B20">
        <f>ROW()-ROW(tbl_HC[#Headers])</f>
        <v>18</v>
      </c>
      <c r="C20" t="s">
        <v>754</v>
      </c>
      <c r="D20" t="str">
        <f>TT!$O72</f>
        <v>Proximal Phalanges (M)</v>
      </c>
      <c r="E20">
        <f>ABS(HandSelVal-IF(tbl_HC[[#This Row],[ProperName]]=$D$3,3.2,IF(tbl_HC[[#This Row],[ProperName]]=$D$4,2.3,INDEX(Table13[],MATCH(VALUE(RIGHT(tbl_HC[[#This Row],[Object]],1)),Table13[Row],0),MATCH(LEFT(tbl_HC[[#This Row],[Object]],2)&amp;E$2,Table13[#Headers],0)))))</f>
        <v>2.8015151515151517</v>
      </c>
      <c r="F20">
        <f>ABS(HandSelVal-IF(tbl_HC[[#This Row],[ProperName]]=$D$3,3.2,IF(tbl_HC[[#This Row],[ProperName]]=$D$4,2.3,INDEX(Table13[],MATCH(VALUE(RIGHT(tbl_HC[[#This Row],[Object]],1)),Table13[Row],0),MATCH(LEFT(tbl_HC[[#This Row],[Object]],2)&amp;F$2,Table13[#Headers],0)))))</f>
        <v>2.834848484848485</v>
      </c>
      <c r="G20">
        <f>IF(OR(tbl_HC[[#This Row],[ProperName]]=$D$3,tbl_HC[[#This Row],[ProperName]]=$D$4),-10,INDEX(Table13[],MATCH(VALUE(RIGHT(tbl_HC[[#This Row],[Object]],1)),Table13[Row],0),MATCH(LEFT(tbl_HC[[#This Row],[Object]],2)&amp;G$2,Table13[#Headers],0)))</f>
        <v>56.19986759867065</v>
      </c>
      <c r="H20">
        <f>IF(OR(tbl_HC[[#This Row],[ProperName]]=$D$3,tbl_HC[[#This Row],[ProperName]]=$D$4),14,INDEX(Table13[],MATCH(VALUE(RIGHT(tbl_HC[[#This Row],[Object]],1)),Table13[Row],0),MATCH(LEFT(tbl_HC[[#This Row],[Object]],2)&amp;H$2,Table13[#Headers],0)))</f>
        <v>67.199817093504208</v>
      </c>
    </row>
    <row r="21" spans="2:8" ht="22.5" customHeight="1">
      <c r="B21">
        <f>ROW()-ROW(tbl_HC[#Headers])</f>
        <v>19</v>
      </c>
      <c r="C21" t="s">
        <v>755</v>
      </c>
      <c r="D21" t="str">
        <f>TT!$O73</f>
        <v>Metacarpals (M)</v>
      </c>
      <c r="E21">
        <f>ABS(HandSelVal-IF(tbl_HC[[#This Row],[ProperName]]=$D$3,3.2,IF(tbl_HC[[#This Row],[ProperName]]=$D$4,2.3,INDEX(Table13[],MATCH(VALUE(RIGHT(tbl_HC[[#This Row],[Object]],1)),Table13[Row],0),MATCH(LEFT(tbl_HC[[#This Row],[Object]],2)&amp;E$2,Table13[#Headers],0)))))</f>
        <v>2.834848484848485</v>
      </c>
      <c r="F21">
        <f>ABS(HandSelVal-IF(tbl_HC[[#This Row],[ProperName]]=$D$3,3.2,IF(tbl_HC[[#This Row],[ProperName]]=$D$4,2.3,INDEX(Table13[],MATCH(VALUE(RIGHT(tbl_HC[[#This Row],[Object]],1)),Table13[Row],0),MATCH(LEFT(tbl_HC[[#This Row],[Object]],2)&amp;F$2,Table13[#Headers],0)))))</f>
        <v>2.85</v>
      </c>
      <c r="G21">
        <f>IF(OR(tbl_HC[[#This Row],[ProperName]]=$D$3,tbl_HC[[#This Row],[ProperName]]=$D$4),-10,INDEX(Table13[],MATCH(VALUE(RIGHT(tbl_HC[[#This Row],[Object]],1)),Table13[Row],0),MATCH(LEFT(tbl_HC[[#This Row],[Object]],2)&amp;G$2,Table13[#Headers],0)))</f>
        <v>67.199817093504208</v>
      </c>
      <c r="H21">
        <f>IF(OR(tbl_HC[[#This Row],[ProperName]]=$D$3,tbl_HC[[#This Row],[ProperName]]=$D$4),14,INDEX(Table13[],MATCH(VALUE(RIGHT(tbl_HC[[#This Row],[Object]],1)),Table13[Row],0),MATCH(LEFT(tbl_HC[[#This Row],[Object]],2)&amp;H$2,Table13[#Headers],0)))</f>
        <v>72.199794136610365</v>
      </c>
    </row>
    <row r="22" spans="2:8" ht="22.5" customHeight="1">
      <c r="B22">
        <f>ROW()-ROW(tbl_HC[#Headers])</f>
        <v>20</v>
      </c>
      <c r="C22" t="s">
        <v>756</v>
      </c>
      <c r="D22" t="str">
        <f>TT!$O74</f>
        <v>Distal Phalanges (R)</v>
      </c>
      <c r="E22">
        <f>ABS(HandSelVal-IF(tbl_HC[[#This Row],[ProperName]]=$D$3,3.2,IF(tbl_HC[[#This Row],[ProperName]]=$D$4,2.3,INDEX(Table13[],MATCH(VALUE(RIGHT(tbl_HC[[#This Row],[Object]],1)),Table13[Row],0),MATCH(LEFT(tbl_HC[[#This Row],[Object]],2)&amp;E$2,Table13[#Headers],0)))))</f>
        <v>3.1</v>
      </c>
      <c r="F22">
        <f>ABS(HandSelVal-IF(tbl_HC[[#This Row],[ProperName]]=$D$3,3.2,IF(tbl_HC[[#This Row],[ProperName]]=$D$4,2.3,INDEX(Table13[],MATCH(VALUE(RIGHT(tbl_HC[[#This Row],[Object]],1)),Table13[Row],0),MATCH(LEFT(tbl_HC[[#This Row],[Object]],2)&amp;F$2,Table13[#Headers],0)))))</f>
        <v>3.55</v>
      </c>
      <c r="G22">
        <f>IF(OR(tbl_HC[[#This Row],[ProperName]]=$D$3,tbl_HC[[#This Row],[ProperName]]=$D$4),-10,INDEX(Table13[],MATCH(VALUE(RIGHT(tbl_HC[[#This Row],[Object]],1)),Table13[Row],0),MATCH(LEFT(tbl_HC[[#This Row],[Object]],2)&amp;G$2,Table13[#Headers],0)))</f>
        <v>16.3</v>
      </c>
      <c r="H22">
        <f>IF(OR(tbl_HC[[#This Row],[ProperName]]=$D$3,tbl_HC[[#This Row],[ProperName]]=$D$4),14,INDEX(Table13[],MATCH(VALUE(RIGHT(tbl_HC[[#This Row],[Object]],1)),Table13[Row],0),MATCH(LEFT(tbl_HC[[#This Row],[Object]],2)&amp;H$2,Table13[#Headers],0)))</f>
        <v>36.294936859115111</v>
      </c>
    </row>
    <row r="23" spans="2:8" ht="22.5" customHeight="1">
      <c r="B23">
        <f>ROW()-ROW(tbl_HC[#Headers])</f>
        <v>21</v>
      </c>
      <c r="C23" t="s">
        <v>757</v>
      </c>
      <c r="D23" t="str">
        <f>TT!$O75</f>
        <v>Middle Phalanges (R)</v>
      </c>
      <c r="E23">
        <f>ABS(HandSelVal-IF(tbl_HC[[#This Row],[ProperName]]=$D$3,3.2,IF(tbl_HC[[#This Row],[ProperName]]=$D$4,2.3,INDEX(Table13[],MATCH(VALUE(RIGHT(tbl_HC[[#This Row],[Object]],1)),Table13[Row],0),MATCH(LEFT(tbl_HC[[#This Row],[Object]],2)&amp;E$2,Table13[#Headers],0)))))</f>
        <v>3.55</v>
      </c>
      <c r="F23">
        <f>ABS(HandSelVal-IF(tbl_HC[[#This Row],[ProperName]]=$D$3,3.2,IF(tbl_HC[[#This Row],[ProperName]]=$D$4,2.3,INDEX(Table13[],MATCH(VALUE(RIGHT(tbl_HC[[#This Row],[Object]],1)),Table13[Row],0),MATCH(LEFT(tbl_HC[[#This Row],[Object]],2)&amp;F$2,Table13[#Headers],0)))))</f>
        <v>3.6951612903225808</v>
      </c>
      <c r="G23">
        <f>IF(OR(tbl_HC[[#This Row],[ProperName]]=$D$3,tbl_HC[[#This Row],[ProperName]]=$D$4),-10,INDEX(Table13[],MATCH(VALUE(RIGHT(tbl_HC[[#This Row],[Object]],1)),Table13[Row],0),MATCH(LEFT(tbl_HC[[#This Row],[Object]],2)&amp;G$2,Table13[#Headers],0)))</f>
        <v>36.294936859115111</v>
      </c>
      <c r="H23">
        <f>IF(OR(tbl_HC[[#This Row],[ProperName]]=$D$3,tbl_HC[[#This Row],[ProperName]]=$D$4),14,INDEX(Table13[],MATCH(VALUE(RIGHT(tbl_HC[[#This Row],[Object]],1)),Table13[Row],0),MATCH(LEFT(tbl_HC[[#This Row],[Object]],2)&amp;H$2,Table13[#Headers],0)))</f>
        <v>51.294234449328854</v>
      </c>
    </row>
    <row r="24" spans="2:8" ht="22.5" customHeight="1">
      <c r="B24">
        <f>ROW()-ROW(tbl_HC[#Headers])</f>
        <v>22</v>
      </c>
      <c r="C24" t="s">
        <v>758</v>
      </c>
      <c r="D24" t="str">
        <f>TT!$O76</f>
        <v>Proximal Phalanges (R)</v>
      </c>
      <c r="E24">
        <f>ABS(HandSelVal-IF(tbl_HC[[#This Row],[ProperName]]=$D$3,3.2,IF(tbl_HC[[#This Row],[ProperName]]=$D$4,2.3,INDEX(Table13[],MATCH(VALUE(RIGHT(tbl_HC[[#This Row],[Object]],1)),Table13[Row],0),MATCH(LEFT(tbl_HC[[#This Row],[Object]],2)&amp;E$2,Table13[#Headers],0)))))</f>
        <v>3.6951612903225808</v>
      </c>
      <c r="F24">
        <f>ABS(HandSelVal-IF(tbl_HC[[#This Row],[ProperName]]=$D$3,3.2,IF(tbl_HC[[#This Row],[ProperName]]=$D$4,2.3,INDEX(Table13[],MATCH(VALUE(RIGHT(tbl_HC[[#This Row],[Object]],1)),Table13[Row],0),MATCH(LEFT(tbl_HC[[#This Row],[Object]],2)&amp;F$2,Table13[#Headers],0)))))</f>
        <v>3.8016129032258066</v>
      </c>
      <c r="G24">
        <f>IF(OR(tbl_HC[[#This Row],[ProperName]]=$D$3,tbl_HC[[#This Row],[ProperName]]=$D$4),-10,INDEX(Table13[],MATCH(VALUE(RIGHT(tbl_HC[[#This Row],[Object]],1)),Table13[Row],0),MATCH(LEFT(tbl_HC[[#This Row],[Object]],2)&amp;G$2,Table13[#Headers],0)))</f>
        <v>51.294234449328854</v>
      </c>
      <c r="H24">
        <f>IF(OR(tbl_HC[[#This Row],[ProperName]]=$D$3,tbl_HC[[#This Row],[ProperName]]=$D$4),14,INDEX(Table13[],MATCH(VALUE(RIGHT(tbl_HC[[#This Row],[Object]],1)),Table13[Row],0),MATCH(LEFT(tbl_HC[[#This Row],[Object]],2)&amp;H$2,Table13[#Headers],0)))</f>
        <v>62.293719348818932</v>
      </c>
    </row>
    <row r="25" spans="2:8" ht="22.5" customHeight="1">
      <c r="B25">
        <f>ROW()-ROW(tbl_HC[#Headers])</f>
        <v>23</v>
      </c>
      <c r="C25" t="s">
        <v>759</v>
      </c>
      <c r="D25" t="str">
        <f>TT!$O77</f>
        <v>Metacarpals (R)</v>
      </c>
      <c r="E25">
        <f>ABS(HandSelVal-IF(tbl_HC[[#This Row],[ProperName]]=$D$3,3.2,IF(tbl_HC[[#This Row],[ProperName]]=$D$4,2.3,INDEX(Table13[],MATCH(VALUE(RIGHT(tbl_HC[[#This Row],[Object]],1)),Table13[Row],0),MATCH(LEFT(tbl_HC[[#This Row],[Object]],2)&amp;E$2,Table13[#Headers],0)))))</f>
        <v>3.8016129032258066</v>
      </c>
      <c r="F25">
        <f>ABS(HandSelVal-IF(tbl_HC[[#This Row],[ProperName]]=$D$3,3.2,IF(tbl_HC[[#This Row],[ProperName]]=$D$4,2.3,INDEX(Table13[],MATCH(VALUE(RIGHT(tbl_HC[[#This Row],[Object]],1)),Table13[Row],0),MATCH(LEFT(tbl_HC[[#This Row],[Object]],2)&amp;F$2,Table13[#Headers],0)))))</f>
        <v>3.85</v>
      </c>
      <c r="G25">
        <f>IF(OR(tbl_HC[[#This Row],[ProperName]]=$D$3,tbl_HC[[#This Row],[ProperName]]=$D$4),-10,INDEX(Table13[],MATCH(VALUE(RIGHT(tbl_HC[[#This Row],[Object]],1)),Table13[Row],0),MATCH(LEFT(tbl_HC[[#This Row],[Object]],2)&amp;G$2,Table13[#Headers],0)))</f>
        <v>62.293719348818932</v>
      </c>
      <c r="H25">
        <f>IF(OR(tbl_HC[[#This Row],[ProperName]]=$D$3,tbl_HC[[#This Row],[ProperName]]=$D$4),14,INDEX(Table13[],MATCH(VALUE(RIGHT(tbl_HC[[#This Row],[Object]],1)),Table13[Row],0),MATCH(LEFT(tbl_HC[[#This Row],[Object]],2)&amp;H$2,Table13[#Headers],0)))</f>
        <v>67.293485212223516</v>
      </c>
    </row>
    <row r="26" spans="2:8" ht="22.5" customHeight="1">
      <c r="B26">
        <f>ROW()-ROW(tbl_HC[#Headers])</f>
        <v>24</v>
      </c>
      <c r="C26" t="s">
        <v>760</v>
      </c>
      <c r="D26" t="str">
        <f>TT!$O78</f>
        <v>Distal Phalanges (P)</v>
      </c>
      <c r="E26">
        <f>ABS(HandSelVal-IF(tbl_HC[[#This Row],[ProperName]]=$D$3,3.2,IF(tbl_HC[[#This Row],[ProperName]]=$D$4,2.3,INDEX(Table13[],MATCH(VALUE(RIGHT(tbl_HC[[#This Row],[Object]],1)),Table13[Row],0),MATCH(LEFT(tbl_HC[[#This Row],[Object]],2)&amp;E$2,Table13[#Headers],0)))))</f>
        <v>3.45</v>
      </c>
      <c r="F26">
        <f>ABS(HandSelVal-IF(tbl_HC[[#This Row],[ProperName]]=$D$3,3.2,IF(tbl_HC[[#This Row],[ProperName]]=$D$4,2.3,INDEX(Table13[],MATCH(VALUE(RIGHT(tbl_HC[[#This Row],[Object]],1)),Table13[Row],0),MATCH(LEFT(tbl_HC[[#This Row],[Object]],2)&amp;F$2,Table13[#Headers],0)))))</f>
        <v>4.1500000000000004</v>
      </c>
      <c r="G26">
        <f>IF(OR(tbl_HC[[#This Row],[ProperName]]=$D$3,tbl_HC[[#This Row],[ProperName]]=$D$4),-10,INDEX(Table13[],MATCH(VALUE(RIGHT(tbl_HC[[#This Row],[Object]],1)),Table13[Row],0),MATCH(LEFT(tbl_HC[[#This Row],[Object]],2)&amp;G$2,Table13[#Headers],0)))</f>
        <v>15</v>
      </c>
      <c r="H26">
        <f>IF(OR(tbl_HC[[#This Row],[ProperName]]=$D$3,tbl_HC[[#This Row],[ProperName]]=$D$4),14,INDEX(Table13[],MATCH(VALUE(RIGHT(tbl_HC[[#This Row],[Object]],1)),Table13[Row],0),MATCH(LEFT(tbl_HC[[#This Row],[Object]],2)&amp;H$2,Table13[#Headers],0)))</f>
        <v>30.984680165708667</v>
      </c>
    </row>
    <row r="27" spans="2:8" ht="22.5" customHeight="1">
      <c r="B27">
        <f>ROW()-ROW(tbl_HC[#Headers])</f>
        <v>25</v>
      </c>
      <c r="C27" t="s">
        <v>761</v>
      </c>
      <c r="D27" t="str">
        <f>TT!$O79</f>
        <v>Middle Phalanges (P)</v>
      </c>
      <c r="E27">
        <f>ABS(HandSelVal-IF(tbl_HC[[#This Row],[ProperName]]=$D$3,3.2,IF(tbl_HC[[#This Row],[ProperName]]=$D$4,2.3,INDEX(Table13[],MATCH(VALUE(RIGHT(tbl_HC[[#This Row],[Object]],1)),Table13[Row],0),MATCH(LEFT(tbl_HC[[#This Row],[Object]],2)&amp;E$2,Table13[#Headers],0)))))</f>
        <v>4.1500000000000004</v>
      </c>
      <c r="F27">
        <f>ABS(HandSelVal-IF(tbl_HC[[#This Row],[ProperName]]=$D$3,3.2,IF(tbl_HC[[#This Row],[ProperName]]=$D$4,2.3,INDEX(Table13[],MATCH(VALUE(RIGHT(tbl_HC[[#This Row],[Object]],1)),Table13[Row],0),MATCH(LEFT(tbl_HC[[#This Row],[Object]],2)&amp;F$2,Table13[#Headers],0)))))</f>
        <v>4.45</v>
      </c>
      <c r="G27">
        <f>IF(OR(tbl_HC[[#This Row],[ProperName]]=$D$3,tbl_HC[[#This Row],[ProperName]]=$D$4),-10,INDEX(Table13[],MATCH(VALUE(RIGHT(tbl_HC[[#This Row],[Object]],1)),Table13[Row],0),MATCH(LEFT(tbl_HC[[#This Row],[Object]],2)&amp;G$2,Table13[#Headers],0)))</f>
        <v>30.984680165708667</v>
      </c>
      <c r="H27">
        <f>IF(OR(tbl_HC[[#This Row],[ProperName]]=$D$3,tbl_HC[[#This Row],[ProperName]]=$D$4),14,INDEX(Table13[],MATCH(VALUE(RIGHT(tbl_HC[[#This Row],[Object]],1)),Table13[Row],0),MATCH(LEFT(tbl_HC[[#This Row],[Object]],2)&amp;H$2,Table13[#Headers],0)))</f>
        <v>41.980588495628481</v>
      </c>
    </row>
    <row r="28" spans="2:8" ht="22.5" customHeight="1">
      <c r="B28">
        <f>ROW()-ROW(tbl_HC[#Headers])</f>
        <v>26</v>
      </c>
      <c r="C28" t="s">
        <v>762</v>
      </c>
      <c r="D28" t="str">
        <f>TT!$O80</f>
        <v>Proximal Phalanges (P)</v>
      </c>
      <c r="E28">
        <f>ABS(HandSelVal-IF(tbl_HC[[#This Row],[ProperName]]=$D$3,3.2,IF(tbl_HC[[#This Row],[ProperName]]=$D$4,2.3,INDEX(Table13[],MATCH(VALUE(RIGHT(tbl_HC[[#This Row],[Object]],1)),Table13[Row],0),MATCH(LEFT(tbl_HC[[#This Row],[Object]],2)&amp;E$2,Table13[#Headers],0)))))</f>
        <v>4.45</v>
      </c>
      <c r="F28">
        <f>ABS(HandSelVal-IF(tbl_HC[[#This Row],[ProperName]]=$D$3,3.2,IF(tbl_HC[[#This Row],[ProperName]]=$D$4,2.3,INDEX(Table13[],MATCH(VALUE(RIGHT(tbl_HC[[#This Row],[Object]],1)),Table13[Row],0),MATCH(LEFT(tbl_HC[[#This Row],[Object]],2)&amp;F$2,Table13[#Headers],0)))))</f>
        <v>4.6409090909090907</v>
      </c>
      <c r="G28">
        <f>IF(OR(tbl_HC[[#This Row],[ProperName]]=$D$3,tbl_HC[[#This Row],[ProperName]]=$D$4),-10,INDEX(Table13[],MATCH(VALUE(RIGHT(tbl_HC[[#This Row],[Object]],1)),Table13[Row],0),MATCH(LEFT(tbl_HC[[#This Row],[Object]],2)&amp;G$2,Table13[#Headers],0)))</f>
        <v>41.980588495628481</v>
      </c>
      <c r="H28">
        <f>IF(OR(tbl_HC[[#This Row],[ProperName]]=$D$3,tbl_HC[[#This Row],[ProperName]]=$D$4),14,INDEX(Table13[],MATCH(VALUE(RIGHT(tbl_HC[[#This Row],[Object]],1)),Table13[Row],0),MATCH(LEFT(tbl_HC[[#This Row],[Object]],2)&amp;H$2,Table13[#Headers],0)))</f>
        <v>48.977984705577455</v>
      </c>
    </row>
    <row r="29" spans="2:8" ht="22.5" customHeight="1">
      <c r="B29">
        <f>ROW()-ROW(tbl_HC[#Headers])</f>
        <v>27</v>
      </c>
      <c r="C29" t="s">
        <v>763</v>
      </c>
      <c r="D29" t="str">
        <f>TT!$O81</f>
        <v>Metacarpals (P)</v>
      </c>
      <c r="E29">
        <f>ABS(HandSelVal-IF(tbl_HC[[#This Row],[ProperName]]=$D$3,3.2,IF(tbl_HC[[#This Row],[ProperName]]=$D$4,2.3,INDEX(Table13[],MATCH(VALUE(RIGHT(tbl_HC[[#This Row],[Object]],1)),Table13[Row],0),MATCH(LEFT(tbl_HC[[#This Row],[Object]],2)&amp;E$2,Table13[#Headers],0)))))</f>
        <v>4.6409090909090907</v>
      </c>
      <c r="F29">
        <f>ABS(HandSelVal-IF(tbl_HC[[#This Row],[ProperName]]=$D$3,3.2,IF(tbl_HC[[#This Row],[ProperName]]=$D$4,2.3,INDEX(Table13[],MATCH(VALUE(RIGHT(tbl_HC[[#This Row],[Object]],1)),Table13[Row],0),MATCH(LEFT(tbl_HC[[#This Row],[Object]],2)&amp;F$2,Table13[#Headers],0)))))</f>
        <v>4.75</v>
      </c>
      <c r="G29">
        <f>IF(OR(tbl_HC[[#This Row],[ProperName]]=$D$3,tbl_HC[[#This Row],[ProperName]]=$D$4),-10,INDEX(Table13[],MATCH(VALUE(RIGHT(tbl_HC[[#This Row],[Object]],1)),Table13[Row],0),MATCH(LEFT(tbl_HC[[#This Row],[Object]],2)&amp;G$2,Table13[#Headers],0)))</f>
        <v>48.977984705577455</v>
      </c>
      <c r="H29">
        <f>IF(OR(tbl_HC[[#This Row],[ProperName]]=$D$3,tbl_HC[[#This Row],[ProperName]]=$D$4),14,INDEX(Table13[],MATCH(VALUE(RIGHT(tbl_HC[[#This Row],[Object]],1)),Table13[Row],0),MATCH(LEFT(tbl_HC[[#This Row],[Object]],2)&amp;H$2,Table13[#Headers],0)))</f>
        <v>52.976496825548296</v>
      </c>
    </row>
  </sheetData>
  <mergeCells count="5">
    <mergeCell ref="AH1:AK1"/>
    <mergeCell ref="Z1:AC1"/>
    <mergeCell ref="AD1:AG1"/>
    <mergeCell ref="AL1:AO1"/>
    <mergeCell ref="V1:Y1"/>
  </mergeCells>
  <phoneticPr fontId="17" type="noConversion"/>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B5902-4A22-4EA7-BC99-022868CB2AFA}">
  <sheetPr codeName="Sheet6"/>
  <dimension ref="A2:BD29"/>
  <sheetViews>
    <sheetView workbookViewId="0">
      <selection activeCell="C19" sqref="C19"/>
    </sheetView>
  </sheetViews>
  <sheetFormatPr defaultRowHeight="16.5"/>
  <cols>
    <col min="2" max="2" width="10" customWidth="1"/>
    <col min="10" max="22" width="13.875" customWidth="1"/>
    <col min="31" max="31" width="9" customWidth="1"/>
    <col min="35" max="35" width="10.625" customWidth="1"/>
    <col min="53" max="53" width="12.625" customWidth="1"/>
    <col min="54" max="54" width="12.125" customWidth="1"/>
  </cols>
  <sheetData>
    <row r="2" spans="1:56">
      <c r="A2" t="str">
        <f>TT!$O$27</f>
        <v>Index</v>
      </c>
      <c r="B2" t="s">
        <v>764</v>
      </c>
      <c r="C2" t="str">
        <f>INDEX(Table4[GestureVal],MATCH($A2,Table4[Name],0))</f>
        <v>e</v>
      </c>
      <c r="E2" t="s">
        <v>765</v>
      </c>
      <c r="F2" t="s">
        <v>730</v>
      </c>
      <c r="H2" t="s">
        <v>2</v>
      </c>
      <c r="I2" t="s">
        <v>690</v>
      </c>
      <c r="J2" t="s">
        <v>691</v>
      </c>
      <c r="K2" t="s">
        <v>766</v>
      </c>
      <c r="L2" t="s">
        <v>767</v>
      </c>
      <c r="M2" t="s">
        <v>768</v>
      </c>
      <c r="N2" t="s">
        <v>769</v>
      </c>
      <c r="O2" t="s">
        <v>770</v>
      </c>
      <c r="P2" t="s">
        <v>771</v>
      </c>
      <c r="Q2" t="s">
        <v>772</v>
      </c>
      <c r="R2" t="s">
        <v>773</v>
      </c>
      <c r="S2" t="s">
        <v>774</v>
      </c>
      <c r="T2" t="s">
        <v>775</v>
      </c>
      <c r="U2" t="s">
        <v>776</v>
      </c>
      <c r="V2" t="s">
        <v>777</v>
      </c>
      <c r="W2" t="s">
        <v>778</v>
      </c>
      <c r="X2" t="s">
        <v>779</v>
      </c>
      <c r="Y2" t="s">
        <v>780</v>
      </c>
      <c r="Z2" t="s">
        <v>781</v>
      </c>
      <c r="AA2" t="s">
        <v>782</v>
      </c>
      <c r="AB2" t="s">
        <v>783</v>
      </c>
      <c r="AC2" t="s">
        <v>784</v>
      </c>
      <c r="AD2" t="s">
        <v>785</v>
      </c>
      <c r="AF2" t="s">
        <v>786</v>
      </c>
      <c r="AG2" t="s">
        <v>787</v>
      </c>
      <c r="AH2" t="s">
        <v>788</v>
      </c>
      <c r="AI2" t="s">
        <v>789</v>
      </c>
      <c r="AJ2" t="s">
        <v>256</v>
      </c>
      <c r="AK2" t="s">
        <v>790</v>
      </c>
      <c r="AL2" t="s">
        <v>791</v>
      </c>
      <c r="AM2" t="s">
        <v>792</v>
      </c>
      <c r="AN2" t="s">
        <v>793</v>
      </c>
      <c r="AO2" t="s">
        <v>794</v>
      </c>
      <c r="AP2" t="s">
        <v>795</v>
      </c>
      <c r="AQ2" t="s">
        <v>796</v>
      </c>
      <c r="AR2" t="s">
        <v>797</v>
      </c>
      <c r="AS2" t="s">
        <v>798</v>
      </c>
      <c r="AT2" t="s">
        <v>799</v>
      </c>
      <c r="AU2" t="s">
        <v>800</v>
      </c>
      <c r="AV2" t="s">
        <v>801</v>
      </c>
      <c r="AW2" t="s">
        <v>802</v>
      </c>
      <c r="AX2" t="s">
        <v>803</v>
      </c>
      <c r="AY2" t="s">
        <v>804</v>
      </c>
      <c r="BA2" t="s">
        <v>805</v>
      </c>
      <c r="BB2" t="s">
        <v>806</v>
      </c>
      <c r="BC2" t="s">
        <v>807</v>
      </c>
      <c r="BD2" t="s">
        <v>808</v>
      </c>
    </row>
    <row r="3" spans="1:56">
      <c r="A3" t="str">
        <f>TT!$O$28</f>
        <v>Middle</v>
      </c>
      <c r="B3" t="s">
        <v>809</v>
      </c>
      <c r="C3" t="str">
        <f>INDEX(Table4[GestureVal],MATCH($A3,Table4[Name],0))</f>
        <v>e</v>
      </c>
      <c r="E3" t="s">
        <v>810</v>
      </c>
      <c r="F3">
        <v>2</v>
      </c>
      <c r="H3">
        <f>ROW()-ROW(Table3[#Headers])</f>
        <v>1</v>
      </c>
      <c r="I3" t="s">
        <v>734</v>
      </c>
      <c r="J3" t="str">
        <f>TT!$O55</f>
        <v>Radius</v>
      </c>
      <c r="K3">
        <v>-10</v>
      </c>
      <c r="L3">
        <v>14</v>
      </c>
      <c r="M3">
        <v>1.7999999999999998</v>
      </c>
      <c r="N3">
        <v>1.7999999999999998</v>
      </c>
      <c r="O3">
        <v>-10</v>
      </c>
      <c r="P3">
        <v>14</v>
      </c>
      <c r="Q3">
        <v>1.7999999999999998</v>
      </c>
      <c r="R3">
        <v>1.7999999999999998</v>
      </c>
      <c r="S3">
        <v>-10</v>
      </c>
      <c r="T3">
        <v>14</v>
      </c>
      <c r="U3">
        <v>1.7999999999999998</v>
      </c>
      <c r="V3">
        <v>1.7999999999999998</v>
      </c>
      <c r="W3">
        <f>INDEX(Table3[#This Row],,Gesture_P1*4)</f>
        <v>-10</v>
      </c>
      <c r="X3">
        <f>INDEX(Table3[#This Row],,Gesture_P1*4+1)</f>
        <v>14</v>
      </c>
      <c r="Y3">
        <f>INDEX(Table3[#This Row],,Gesture_P1*4+2)</f>
        <v>1.7999999999999998</v>
      </c>
      <c r="Z3">
        <f>INDEX(Table3[#This Row],,Gesture_P1*4+3)</f>
        <v>1.7999999999999998</v>
      </c>
      <c r="AA3">
        <f>75-INDEX(Table3[#This Row],,Gesture_P2*4)</f>
        <v>85</v>
      </c>
      <c r="AB3">
        <f>75-INDEX(Table3[#This Row],,Gesture_P2*4+1)</f>
        <v>61</v>
      </c>
      <c r="AC3">
        <f>INDEX(Table3[#This Row],,Gesture_P2*4+2)</f>
        <v>1.7999999999999998</v>
      </c>
      <c r="AD3">
        <f>INDEX(Table3[#This Row],,Gesture_P2*4+3)</f>
        <v>1.7999999999999998</v>
      </c>
      <c r="AF3">
        <f>ROW()-ROW(Table7[#Headers])</f>
        <v>1</v>
      </c>
      <c r="AG3">
        <f>1</f>
        <v>1</v>
      </c>
      <c r="AH3">
        <f>IF(OR(Table7[[#This Row],[Player]]="",Table7[[#This Row],[Player]]=0,),0,1)</f>
        <v>0</v>
      </c>
      <c r="AI3">
        <f>INDEX('Data In'!$N$5:$R$5,1,Table7[[#This Row],[Round]])</f>
        <v>0</v>
      </c>
      <c r="AJ3">
        <f>INDEX('Data In'!$S$5:$W$5,1,Table7[[#This Row],[Round]])</f>
        <v>0</v>
      </c>
      <c r="AK3">
        <f>IF(Table7[[#This Row],[Player]]=Table7[[#This Row],[Excel]],0,IF(OR(AND(Table7[[#This Row],[Player]]=2,Table7[[#This Row],[Excel]]=1),AND(Table7[[#This Row],[Player]]=3,Table7[[#This Row],[Excel]]=2),AND(Table7[[#This Row],[Player]]=1,Table7[[#This Row],[Excel]]=3)),1,-1))</f>
        <v>0</v>
      </c>
      <c r="AL3" t="e">
        <f>IF(Table7[[#This Row],[Player]]=1,Table7[[#This Row],[Round]],NA())</f>
        <v>#N/A</v>
      </c>
      <c r="AM3" t="e">
        <f>IF(Table7[[#This Row],[Player]]=2,Table7[[#This Row],[Round]],NA())</f>
        <v>#N/A</v>
      </c>
      <c r="AN3" t="e">
        <f>IF(Table7[[#This Row],[Player]]=3,Table7[[#This Row],[Round]],NA())</f>
        <v>#N/A</v>
      </c>
      <c r="AO3" t="e">
        <f>IF(Table7[[#This Row],[Excel]]=1,Table7[[#This Row],[Round]],NA())</f>
        <v>#N/A</v>
      </c>
      <c r="AP3" t="e">
        <f>IF(Table7[[#This Row],[Excel]]=2,Table7[[#This Row],[Round]],NA())</f>
        <v>#N/A</v>
      </c>
      <c r="AQ3" t="e">
        <f>IF(Table7[[#This Row],[Excel]]=3,Table7[[#This Row],[Round]],NA())</f>
        <v>#N/A</v>
      </c>
      <c r="AR3" t="str">
        <f>IF(AND(Table7[[#This Row],[Player]]=0,Table7[[#This Row],[Excel]]=0),"",INDEX(Table8[ResultText1],MATCH(Table7[[#This Row],[Winner]],Table8[ResultNum],0)))</f>
        <v/>
      </c>
      <c r="AS3" t="str">
        <f>IF(AND(Table7[[#This Row],[Player]]=0,Table7[[#This Row],[Excel]]=0),"",INDEX(Table8[ResultText2],MATCH(Table7[[#This Row],[Winner]],Table8[ResultNum],0)))</f>
        <v/>
      </c>
      <c r="AT3">
        <f>IFERROR(Table7[[#This Row],[P1_1]]/Table7[[#This Row],[P1_1]],0)</f>
        <v>0</v>
      </c>
      <c r="AU3">
        <f>IFERROR(Table7[[#This Row],[P1_2]]/Table7[[#This Row],[P1_2]],0)</f>
        <v>0</v>
      </c>
      <c r="AV3">
        <f>IFERROR(Table7[[#This Row],[P1_3]]/Table7[[#This Row],[P1_3]],0)</f>
        <v>0</v>
      </c>
      <c r="AW3">
        <f>IFERROR(Table7[[#This Row],[P2_1]]/Table7[[#This Row],[P2_1]],0)</f>
        <v>0</v>
      </c>
      <c r="AX3">
        <f>IFERROR(Table7[[#This Row],[P2_2]]/Table7[[#This Row],[P2_2]],0)</f>
        <v>0</v>
      </c>
      <c r="AY3">
        <f>IFERROR(Table7[[#This Row],[P2_3]]/Table7[[#This Row],[P2_3]],0)</f>
        <v>0</v>
      </c>
      <c r="BA3">
        <v>-1</v>
      </c>
      <c r="BB3" t="s">
        <v>811</v>
      </c>
      <c r="BC3" t="str">
        <f>TT!$O$52</f>
        <v>Win</v>
      </c>
      <c r="BD3" t="str">
        <f>TT!$O$41</f>
        <v>Excel Wins</v>
      </c>
    </row>
    <row r="4" spans="1:56">
      <c r="A4" t="str">
        <f>TT!$O$29</f>
        <v>Ring</v>
      </c>
      <c r="B4" t="s">
        <v>812</v>
      </c>
      <c r="C4" t="str">
        <f>INDEX(Table4[GestureVal],MATCH($A4,Table4[Name],0))</f>
        <v>e</v>
      </c>
      <c r="E4" t="s">
        <v>813</v>
      </c>
      <c r="F4">
        <v>3</v>
      </c>
      <c r="H4">
        <f>ROW()-ROW(Table3[#Headers])</f>
        <v>2</v>
      </c>
      <c r="I4" t="s">
        <v>735</v>
      </c>
      <c r="J4" t="str">
        <f>TT!$O56</f>
        <v>Ulna</v>
      </c>
      <c r="K4">
        <v>-10</v>
      </c>
      <c r="L4">
        <v>14</v>
      </c>
      <c r="M4">
        <v>2.7</v>
      </c>
      <c r="N4">
        <v>2.7</v>
      </c>
      <c r="O4">
        <v>-10</v>
      </c>
      <c r="P4">
        <v>14</v>
      </c>
      <c r="Q4">
        <v>2.7</v>
      </c>
      <c r="R4">
        <v>2.7</v>
      </c>
      <c r="S4">
        <v>-10</v>
      </c>
      <c r="T4">
        <v>14</v>
      </c>
      <c r="U4">
        <v>2.7</v>
      </c>
      <c r="V4">
        <v>2.7</v>
      </c>
      <c r="W4">
        <f>INDEX(Table3[#This Row],,Gesture_P1*4)</f>
        <v>-10</v>
      </c>
      <c r="X4">
        <f>INDEX(Table3[#This Row],,Gesture_P1*4+1)</f>
        <v>14</v>
      </c>
      <c r="Y4">
        <f>INDEX(Table3[#This Row],,Gesture_P1*4+2)</f>
        <v>2.7</v>
      </c>
      <c r="Z4">
        <f>INDEX(Table3[#This Row],,Gesture_P1*4+3)</f>
        <v>2.7</v>
      </c>
      <c r="AA4">
        <f>75-INDEX(Table3[#This Row],,Gesture_P2*4)</f>
        <v>85</v>
      </c>
      <c r="AB4">
        <f>75-INDEX(Table3[#This Row],,Gesture_P2*4+1)</f>
        <v>61</v>
      </c>
      <c r="AC4">
        <f>INDEX(Table3[#This Row],,Gesture_P2*4+2)</f>
        <v>2.7</v>
      </c>
      <c r="AD4">
        <f>INDEX(Table3[#This Row],,Gesture_P2*4+3)</f>
        <v>2.7</v>
      </c>
      <c r="AF4">
        <f>ROW()-ROW(Table7[#Headers])</f>
        <v>2</v>
      </c>
      <c r="AG4">
        <f>1</f>
        <v>1</v>
      </c>
      <c r="AH4">
        <f>IF(OR(Table7[[#This Row],[Player]]="",Table7[[#This Row],[Player]]=0,),0,1)</f>
        <v>0</v>
      </c>
      <c r="AI4">
        <f>INDEX('Data In'!$N$5:$R$5,1,Table7[[#This Row],[Round]])</f>
        <v>0</v>
      </c>
      <c r="AJ4">
        <f>INDEX('Data In'!$S$5:$W$5,1,Table7[[#This Row],[Round]])</f>
        <v>0</v>
      </c>
      <c r="AK4">
        <f>IF(Table7[[#This Row],[Player]]=Table7[[#This Row],[Excel]],0,IF(OR(AND(Table7[[#This Row],[Player]]=2,Table7[[#This Row],[Excel]]=1),AND(Table7[[#This Row],[Player]]=3,Table7[[#This Row],[Excel]]=2),AND(Table7[[#This Row],[Player]]=1,Table7[[#This Row],[Excel]]=3)),1,-1))</f>
        <v>0</v>
      </c>
      <c r="AL4" t="e">
        <f>IF(Table7[[#This Row],[Player]]=1,Table7[[#This Row],[Round]],NA())</f>
        <v>#N/A</v>
      </c>
      <c r="AM4" t="e">
        <f>IF(Table7[[#This Row],[Player]]=2,Table7[[#This Row],[Round]],NA())</f>
        <v>#N/A</v>
      </c>
      <c r="AN4" t="e">
        <f>IF(Table7[[#This Row],[Player]]=3,Table7[[#This Row],[Round]],NA())</f>
        <v>#N/A</v>
      </c>
      <c r="AO4" t="e">
        <f>IF(Table7[[#This Row],[Excel]]=1,Table7[[#This Row],[Round]],NA())</f>
        <v>#N/A</v>
      </c>
      <c r="AP4" t="e">
        <f>IF(Table7[[#This Row],[Excel]]=2,Table7[[#This Row],[Round]],NA())</f>
        <v>#N/A</v>
      </c>
      <c r="AQ4" t="e">
        <f>IF(Table7[[#This Row],[Excel]]=3,Table7[[#This Row],[Round]],NA())</f>
        <v>#N/A</v>
      </c>
      <c r="AR4" t="str">
        <f>IF(AND(Table7[[#This Row],[Player]]=0,Table7[[#This Row],[Excel]]=0),"",INDEX(Table8[ResultText1],MATCH(Table7[[#This Row],[Winner]],Table8[ResultNum],0)))</f>
        <v/>
      </c>
      <c r="AS4" t="str">
        <f>IF(AND(Table7[[#This Row],[Player]]=0,Table7[[#This Row],[Excel]]=0),"",INDEX(Table8[ResultText2],MATCH(Table7[[#This Row],[Winner]],Table8[ResultNum],0)))</f>
        <v/>
      </c>
      <c r="AT4">
        <f>IFERROR(Table7[[#This Row],[P1_1]]/Table7[[#This Row],[P1_1]],0)</f>
        <v>0</v>
      </c>
      <c r="AU4">
        <f>IFERROR(Table7[[#This Row],[P1_2]]/Table7[[#This Row],[P1_2]],0)</f>
        <v>0</v>
      </c>
      <c r="AV4">
        <f>IFERROR(Table7[[#This Row],[P1_3]]/Table7[[#This Row],[P1_3]],0)</f>
        <v>0</v>
      </c>
      <c r="AW4">
        <f>IFERROR(Table7[[#This Row],[P2_1]]/Table7[[#This Row],[P2_1]],0)</f>
        <v>0</v>
      </c>
      <c r="AX4">
        <f>IFERROR(Table7[[#This Row],[P2_2]]/Table7[[#This Row],[P2_2]],0)</f>
        <v>0</v>
      </c>
      <c r="AY4">
        <f>IFERROR(Table7[[#This Row],[P2_3]]/Table7[[#This Row],[P2_3]],0)</f>
        <v>0</v>
      </c>
      <c r="BA4">
        <v>0</v>
      </c>
      <c r="BB4" t="str">
        <f>TT!$O$54</f>
        <v>Tie</v>
      </c>
      <c r="BC4" t="str">
        <f>TT!$O$54</f>
        <v>Tie</v>
      </c>
      <c r="BD4" t="str">
        <f>TT!$O$42</f>
        <v>Tie game!</v>
      </c>
    </row>
    <row r="5" spans="1:56">
      <c r="B5" t="s">
        <v>814</v>
      </c>
      <c r="C5" t="str">
        <f>_xlfn.CONCAT(C2:C4)</f>
        <v>eee</v>
      </c>
      <c r="E5" t="s">
        <v>815</v>
      </c>
      <c r="F5">
        <v>2</v>
      </c>
      <c r="H5">
        <f>ROW()-ROW(Table3[#Headers])</f>
        <v>3</v>
      </c>
      <c r="I5" t="s">
        <v>736</v>
      </c>
      <c r="J5" t="str">
        <f>TT!$O57</f>
        <v>Carpals Proxy 1</v>
      </c>
      <c r="K5">
        <v>8</v>
      </c>
      <c r="L5">
        <v>20</v>
      </c>
      <c r="M5">
        <v>2.85</v>
      </c>
      <c r="N5">
        <v>3.1</v>
      </c>
      <c r="O5">
        <v>8</v>
      </c>
      <c r="P5">
        <v>20</v>
      </c>
      <c r="Q5">
        <v>2.85</v>
      </c>
      <c r="R5">
        <v>3.1</v>
      </c>
      <c r="S5">
        <v>8</v>
      </c>
      <c r="T5">
        <v>20</v>
      </c>
      <c r="U5">
        <v>2.85</v>
      </c>
      <c r="V5">
        <v>3.1</v>
      </c>
      <c r="W5">
        <f>INDEX(Table3[#This Row],,Gesture_P1*4)</f>
        <v>8</v>
      </c>
      <c r="X5">
        <f>INDEX(Table3[#This Row],,Gesture_P1*4+1)</f>
        <v>20</v>
      </c>
      <c r="Y5">
        <f>INDEX(Table3[#This Row],,Gesture_P1*4+2)</f>
        <v>2.85</v>
      </c>
      <c r="Z5">
        <f>INDEX(Table3[#This Row],,Gesture_P1*4+3)</f>
        <v>3.1</v>
      </c>
      <c r="AA5">
        <f>75-INDEX(Table3[#This Row],,Gesture_P2*4)</f>
        <v>67</v>
      </c>
      <c r="AB5">
        <f>75-INDEX(Table3[#This Row],,Gesture_P2*4+1)</f>
        <v>55</v>
      </c>
      <c r="AC5">
        <f>INDEX(Table3[#This Row],,Gesture_P2*4+2)</f>
        <v>2.85</v>
      </c>
      <c r="AD5">
        <f>INDEX(Table3[#This Row],,Gesture_P2*4+3)</f>
        <v>3.1</v>
      </c>
      <c r="AF5">
        <f>ROW()-ROW(Table7[#Headers])</f>
        <v>3</v>
      </c>
      <c r="AG5">
        <f>1</f>
        <v>1</v>
      </c>
      <c r="AH5">
        <f>IF(OR(Table7[[#This Row],[Player]]="",Table7[[#This Row],[Player]]=0,),0,1)</f>
        <v>0</v>
      </c>
      <c r="AI5">
        <f>INDEX('Data In'!$N$5:$R$5,1,Table7[[#This Row],[Round]])</f>
        <v>0</v>
      </c>
      <c r="AJ5">
        <f>INDEX('Data In'!$S$5:$W$5,1,Table7[[#This Row],[Round]])</f>
        <v>0</v>
      </c>
      <c r="AK5">
        <f>IF(Table7[[#This Row],[Player]]=Table7[[#This Row],[Excel]],0,IF(OR(AND(Table7[[#This Row],[Player]]=2,Table7[[#This Row],[Excel]]=1),AND(Table7[[#This Row],[Player]]=3,Table7[[#This Row],[Excel]]=2),AND(Table7[[#This Row],[Player]]=1,Table7[[#This Row],[Excel]]=3)),1,-1))</f>
        <v>0</v>
      </c>
      <c r="AL5" t="e">
        <f>IF(Table7[[#This Row],[Player]]=1,Table7[[#This Row],[Round]],NA())</f>
        <v>#N/A</v>
      </c>
      <c r="AM5" t="e">
        <f>IF(Table7[[#This Row],[Player]]=2,Table7[[#This Row],[Round]],NA())</f>
        <v>#N/A</v>
      </c>
      <c r="AN5" t="e">
        <f>IF(Table7[[#This Row],[Player]]=3,Table7[[#This Row],[Round]],NA())</f>
        <v>#N/A</v>
      </c>
      <c r="AO5" t="e">
        <f>IF(Table7[[#This Row],[Excel]]=1,Table7[[#This Row],[Round]],NA())</f>
        <v>#N/A</v>
      </c>
      <c r="AP5" t="e">
        <f>IF(Table7[[#This Row],[Excel]]=2,Table7[[#This Row],[Round]],NA())</f>
        <v>#N/A</v>
      </c>
      <c r="AQ5" t="e">
        <f>IF(Table7[[#This Row],[Excel]]=3,Table7[[#This Row],[Round]],NA())</f>
        <v>#N/A</v>
      </c>
      <c r="AR5" t="str">
        <f>IF(AND(Table7[[#This Row],[Player]]=0,Table7[[#This Row],[Excel]]=0),"",INDEX(Table8[ResultText1],MATCH(Table7[[#This Row],[Winner]],Table8[ResultNum],0)))</f>
        <v/>
      </c>
      <c r="AS5" t="str">
        <f>IF(AND(Table7[[#This Row],[Player]]=0,Table7[[#This Row],[Excel]]=0),"",INDEX(Table8[ResultText2],MATCH(Table7[[#This Row],[Winner]],Table8[ResultNum],0)))</f>
        <v/>
      </c>
      <c r="AT5">
        <f>IFERROR(Table7[[#This Row],[P1_1]]/Table7[[#This Row],[P1_1]],0)</f>
        <v>0</v>
      </c>
      <c r="AU5">
        <f>IFERROR(Table7[[#This Row],[P1_2]]/Table7[[#This Row],[P1_2]],0)</f>
        <v>0</v>
      </c>
      <c r="AV5">
        <f>IFERROR(Table7[[#This Row],[P1_3]]/Table7[[#This Row],[P1_3]],0)</f>
        <v>0</v>
      </c>
      <c r="AW5">
        <f>IFERROR(Table7[[#This Row],[P2_1]]/Table7[[#This Row],[P2_1]],0)</f>
        <v>0</v>
      </c>
      <c r="AX5">
        <f>IFERROR(Table7[[#This Row],[P2_2]]/Table7[[#This Row],[P2_2]],0)</f>
        <v>0</v>
      </c>
      <c r="AY5">
        <f>IFERROR(Table7[[#This Row],[P2_3]]/Table7[[#This Row],[P2_3]],0)</f>
        <v>0</v>
      </c>
      <c r="BA5">
        <v>1</v>
      </c>
      <c r="BB5" t="str">
        <f>TT!$O$52</f>
        <v>Win</v>
      </c>
      <c r="BC5" t="s">
        <v>811</v>
      </c>
      <c r="BD5" t="str">
        <f>TT!$O$40</f>
        <v>You Win!</v>
      </c>
    </row>
    <row r="6" spans="1:56">
      <c r="B6" t="s">
        <v>816</v>
      </c>
      <c r="C6">
        <f>INDEX(Table5[Val],MATCH(Gesture_concat,Table5[Combo],0))</f>
        <v>2</v>
      </c>
      <c r="E6" t="s">
        <v>817</v>
      </c>
      <c r="F6">
        <v>3</v>
      </c>
      <c r="H6">
        <f>ROW()-ROW(Table3[#Headers])</f>
        <v>4</v>
      </c>
      <c r="I6" t="s">
        <v>737</v>
      </c>
      <c r="J6" t="str">
        <f>TT!$O58</f>
        <v>Carpals Proxy 2</v>
      </c>
      <c r="K6">
        <v>20</v>
      </c>
      <c r="L6">
        <v>20</v>
      </c>
      <c r="M6">
        <v>3.1</v>
      </c>
      <c r="N6">
        <v>1.2999999999999998</v>
      </c>
      <c r="O6">
        <v>20</v>
      </c>
      <c r="P6">
        <v>20</v>
      </c>
      <c r="Q6">
        <v>3.1</v>
      </c>
      <c r="R6">
        <v>1.2999999999999998</v>
      </c>
      <c r="S6">
        <v>20</v>
      </c>
      <c r="T6">
        <v>20</v>
      </c>
      <c r="U6">
        <v>3.1</v>
      </c>
      <c r="V6">
        <v>1.2999999999999998</v>
      </c>
      <c r="W6">
        <f>INDEX(Table3[#This Row],,Gesture_P1*4)</f>
        <v>20</v>
      </c>
      <c r="X6">
        <f>INDEX(Table3[#This Row],,Gesture_P1*4+1)</f>
        <v>20</v>
      </c>
      <c r="Y6">
        <f>INDEX(Table3[#This Row],,Gesture_P1*4+2)</f>
        <v>3.1</v>
      </c>
      <c r="Z6">
        <f>INDEX(Table3[#This Row],,Gesture_P1*4+3)</f>
        <v>1.2999999999999998</v>
      </c>
      <c r="AA6">
        <f>75-INDEX(Table3[#This Row],,Gesture_P2*4)</f>
        <v>55</v>
      </c>
      <c r="AB6">
        <f>75-INDEX(Table3[#This Row],,Gesture_P2*4+1)</f>
        <v>55</v>
      </c>
      <c r="AC6">
        <f>INDEX(Table3[#This Row],,Gesture_P2*4+2)</f>
        <v>3.1</v>
      </c>
      <c r="AD6">
        <f>INDEX(Table3[#This Row],,Gesture_P2*4+3)</f>
        <v>1.2999999999999998</v>
      </c>
      <c r="AF6">
        <f>ROW()-ROW(Table7[#Headers])</f>
        <v>4</v>
      </c>
      <c r="AG6">
        <f>1</f>
        <v>1</v>
      </c>
      <c r="AH6">
        <f>IF(OR(Table7[[#This Row],[Player]]="",Table7[[#This Row],[Player]]=0,),0,1)</f>
        <v>0</v>
      </c>
      <c r="AI6">
        <f>INDEX('Data In'!$N$5:$R$5,1,Table7[[#This Row],[Round]])</f>
        <v>0</v>
      </c>
      <c r="AJ6">
        <f>INDEX('Data In'!$S$5:$W$5,1,Table7[[#This Row],[Round]])</f>
        <v>0</v>
      </c>
      <c r="AK6">
        <f>IF(Table7[[#This Row],[Player]]=Table7[[#This Row],[Excel]],0,IF(OR(AND(Table7[[#This Row],[Player]]=2,Table7[[#This Row],[Excel]]=1),AND(Table7[[#This Row],[Player]]=3,Table7[[#This Row],[Excel]]=2),AND(Table7[[#This Row],[Player]]=1,Table7[[#This Row],[Excel]]=3)),1,-1))</f>
        <v>0</v>
      </c>
      <c r="AL6" t="e">
        <f>IF(Table7[[#This Row],[Player]]=1,Table7[[#This Row],[Round]],NA())</f>
        <v>#N/A</v>
      </c>
      <c r="AM6" t="e">
        <f>IF(Table7[[#This Row],[Player]]=2,Table7[[#This Row],[Round]],NA())</f>
        <v>#N/A</v>
      </c>
      <c r="AN6" t="e">
        <f>IF(Table7[[#This Row],[Player]]=3,Table7[[#This Row],[Round]],NA())</f>
        <v>#N/A</v>
      </c>
      <c r="AO6" t="e">
        <f>IF(Table7[[#This Row],[Excel]]=1,Table7[[#This Row],[Round]],NA())</f>
        <v>#N/A</v>
      </c>
      <c r="AP6" t="e">
        <f>IF(Table7[[#This Row],[Excel]]=2,Table7[[#This Row],[Round]],NA())</f>
        <v>#N/A</v>
      </c>
      <c r="AQ6" t="e">
        <f>IF(Table7[[#This Row],[Excel]]=3,Table7[[#This Row],[Round]],NA())</f>
        <v>#N/A</v>
      </c>
      <c r="AR6" t="str">
        <f>IF(AND(Table7[[#This Row],[Player]]=0,Table7[[#This Row],[Excel]]=0),"",INDEX(Table8[ResultText1],MATCH(Table7[[#This Row],[Winner]],Table8[ResultNum],0)))</f>
        <v/>
      </c>
      <c r="AS6" t="str">
        <f>IF(AND(Table7[[#This Row],[Player]]=0,Table7[[#This Row],[Excel]]=0),"",INDEX(Table8[ResultText2],MATCH(Table7[[#This Row],[Winner]],Table8[ResultNum],0)))</f>
        <v/>
      </c>
      <c r="AT6">
        <f>IFERROR(Table7[[#This Row],[P1_1]]/Table7[[#This Row],[P1_1]],0)</f>
        <v>0</v>
      </c>
      <c r="AU6">
        <f>IFERROR(Table7[[#This Row],[P1_2]]/Table7[[#This Row],[P1_2]],0)</f>
        <v>0</v>
      </c>
      <c r="AV6">
        <f>IFERROR(Table7[[#This Row],[P1_3]]/Table7[[#This Row],[P1_3]],0)</f>
        <v>0</v>
      </c>
      <c r="AW6">
        <f>IFERROR(Table7[[#This Row],[P2_1]]/Table7[[#This Row],[P2_1]],0)</f>
        <v>0</v>
      </c>
      <c r="AX6">
        <f>IFERROR(Table7[[#This Row],[P2_2]]/Table7[[#This Row],[P2_2]],0)</f>
        <v>0</v>
      </c>
      <c r="AY6">
        <f>IFERROR(Table7[[#This Row],[P2_3]]/Table7[[#This Row],[P2_3]],0)</f>
        <v>0</v>
      </c>
    </row>
    <row r="7" spans="1:56">
      <c r="B7" t="s">
        <v>818</v>
      </c>
      <c r="C7">
        <f>MAX('Data In'!M5,1)</f>
        <v>1</v>
      </c>
      <c r="E7" t="s">
        <v>819</v>
      </c>
      <c r="F7">
        <v>2</v>
      </c>
      <c r="H7">
        <f>ROW()-ROW(Table3[#Headers])</f>
        <v>5</v>
      </c>
      <c r="I7" t="s">
        <v>738</v>
      </c>
      <c r="J7" t="str">
        <f>TT!$O59</f>
        <v>Carpals Proxy 3</v>
      </c>
      <c r="K7">
        <v>20</v>
      </c>
      <c r="L7">
        <v>8</v>
      </c>
      <c r="M7">
        <v>1.2999999999999998</v>
      </c>
      <c r="N7">
        <v>1.5499999999999998</v>
      </c>
      <c r="O7">
        <v>20</v>
      </c>
      <c r="P7">
        <v>8</v>
      </c>
      <c r="Q7">
        <v>1.2999999999999998</v>
      </c>
      <c r="R7">
        <v>1.5499999999999998</v>
      </c>
      <c r="S7">
        <v>20</v>
      </c>
      <c r="T7">
        <v>8</v>
      </c>
      <c r="U7">
        <v>1.2999999999999998</v>
      </c>
      <c r="V7">
        <v>1.5499999999999998</v>
      </c>
      <c r="W7">
        <f>INDEX(Table3[#This Row],,Gesture_P1*4)</f>
        <v>20</v>
      </c>
      <c r="X7">
        <f>INDEX(Table3[#This Row],,Gesture_P1*4+1)</f>
        <v>8</v>
      </c>
      <c r="Y7">
        <f>INDEX(Table3[#This Row],,Gesture_P1*4+2)</f>
        <v>1.2999999999999998</v>
      </c>
      <c r="Z7">
        <f>INDEX(Table3[#This Row],,Gesture_P1*4+3)</f>
        <v>1.5499999999999998</v>
      </c>
      <c r="AA7">
        <f>75-INDEX(Table3[#This Row],,Gesture_P2*4)</f>
        <v>55</v>
      </c>
      <c r="AB7">
        <f>75-INDEX(Table3[#This Row],,Gesture_P2*4+1)</f>
        <v>67</v>
      </c>
      <c r="AC7">
        <f>INDEX(Table3[#This Row],,Gesture_P2*4+2)</f>
        <v>1.2999999999999998</v>
      </c>
      <c r="AD7">
        <f>INDEX(Table3[#This Row],,Gesture_P2*4+3)</f>
        <v>1.5499999999999998</v>
      </c>
      <c r="AF7">
        <f>ROW()-ROW(Table7[#Headers])</f>
        <v>5</v>
      </c>
      <c r="AG7">
        <f>1</f>
        <v>1</v>
      </c>
      <c r="AH7">
        <f>IF(OR(Table7[[#This Row],[Player]]="",Table7[[#This Row],[Player]]=0,),0,1)</f>
        <v>0</v>
      </c>
      <c r="AI7">
        <f>INDEX('Data In'!$N$5:$R$5,1,Table7[[#This Row],[Round]])</f>
        <v>0</v>
      </c>
      <c r="AJ7">
        <f>INDEX('Data In'!$S$5:$W$5,1,Table7[[#This Row],[Round]])</f>
        <v>0</v>
      </c>
      <c r="AK7">
        <f>IF(Table7[[#This Row],[Player]]=Table7[[#This Row],[Excel]],0,IF(OR(AND(Table7[[#This Row],[Player]]=2,Table7[[#This Row],[Excel]]=1),AND(Table7[[#This Row],[Player]]=3,Table7[[#This Row],[Excel]]=2),AND(Table7[[#This Row],[Player]]=1,Table7[[#This Row],[Excel]]=3)),1,-1))</f>
        <v>0</v>
      </c>
      <c r="AL7" t="e">
        <f>IF(Table7[[#This Row],[Player]]=1,Table7[[#This Row],[Round]],NA())</f>
        <v>#N/A</v>
      </c>
      <c r="AM7" t="e">
        <f>IF(Table7[[#This Row],[Player]]=2,Table7[[#This Row],[Round]],NA())</f>
        <v>#N/A</v>
      </c>
      <c r="AN7" t="e">
        <f>IF(Table7[[#This Row],[Player]]=3,Table7[[#This Row],[Round]],NA())</f>
        <v>#N/A</v>
      </c>
      <c r="AO7" t="e">
        <f>IF(Table7[[#This Row],[Excel]]=1,Table7[[#This Row],[Round]],NA())</f>
        <v>#N/A</v>
      </c>
      <c r="AP7" t="e">
        <f>IF(Table7[[#This Row],[Excel]]=2,Table7[[#This Row],[Round]],NA())</f>
        <v>#N/A</v>
      </c>
      <c r="AQ7" t="e">
        <f>IF(Table7[[#This Row],[Excel]]=3,Table7[[#This Row],[Round]],NA())</f>
        <v>#N/A</v>
      </c>
      <c r="AR7" t="str">
        <f>IF(AND(Table7[[#This Row],[Player]]=0,Table7[[#This Row],[Excel]]=0),"",INDEX(Table8[ResultText1],MATCH(Table7[[#This Row],[Winner]],Table8[ResultNum],0)))</f>
        <v/>
      </c>
      <c r="AS7" t="str">
        <f>IF(AND(Table7[[#This Row],[Player]]=0,Table7[[#This Row],[Excel]]=0),"",INDEX(Table8[ResultText2],MATCH(Table7[[#This Row],[Winner]],Table8[ResultNum],0)))</f>
        <v/>
      </c>
      <c r="AT7">
        <f>IFERROR(Table7[[#This Row],[P1_1]]/Table7[[#This Row],[P1_1]],0)</f>
        <v>0</v>
      </c>
      <c r="AU7">
        <f>IFERROR(Table7[[#This Row],[P1_2]]/Table7[[#This Row],[P1_2]],0)</f>
        <v>0</v>
      </c>
      <c r="AV7">
        <f>IFERROR(Table7[[#This Row],[P1_3]]/Table7[[#This Row],[P1_3]],0)</f>
        <v>0</v>
      </c>
      <c r="AW7">
        <f>IFERROR(Table7[[#This Row],[P2_1]]/Table7[[#This Row],[P2_1]],0)</f>
        <v>0</v>
      </c>
      <c r="AX7">
        <f>IFERROR(Table7[[#This Row],[P2_2]]/Table7[[#This Row],[P2_2]],0)</f>
        <v>0</v>
      </c>
      <c r="AY7">
        <f>IFERROR(Table7[[#This Row],[P2_3]]/Table7[[#This Row],[P2_3]],0)</f>
        <v>0</v>
      </c>
    </row>
    <row r="8" spans="1:56">
      <c r="B8" t="s">
        <v>820</v>
      </c>
      <c r="C8" t="b">
        <f>NOT(SUM(Table7[RoundPlayed])=5)</f>
        <v>1</v>
      </c>
      <c r="E8" t="s">
        <v>821</v>
      </c>
      <c r="F8">
        <v>1</v>
      </c>
      <c r="H8">
        <f>ROW()-ROW(Table3[#Headers])</f>
        <v>6</v>
      </c>
      <c r="I8" t="s">
        <v>739</v>
      </c>
      <c r="J8" t="str">
        <f>TT!$O60</f>
        <v>Carpals Proxy 4</v>
      </c>
      <c r="K8">
        <v>8</v>
      </c>
      <c r="L8">
        <v>8</v>
      </c>
      <c r="M8">
        <v>1.5499999999999998</v>
      </c>
      <c r="N8">
        <v>2.85</v>
      </c>
      <c r="O8">
        <v>8</v>
      </c>
      <c r="P8">
        <v>8</v>
      </c>
      <c r="Q8">
        <v>1.5499999999999998</v>
      </c>
      <c r="R8">
        <v>2.85</v>
      </c>
      <c r="S8">
        <v>8</v>
      </c>
      <c r="T8">
        <v>8</v>
      </c>
      <c r="U8">
        <v>1.5499999999999998</v>
      </c>
      <c r="V8">
        <v>2.85</v>
      </c>
      <c r="W8">
        <f>INDEX(Table3[#This Row],,Gesture_P1*4)</f>
        <v>8</v>
      </c>
      <c r="X8">
        <f>INDEX(Table3[#This Row],,Gesture_P1*4+1)</f>
        <v>8</v>
      </c>
      <c r="Y8">
        <f>INDEX(Table3[#This Row],,Gesture_P1*4+2)</f>
        <v>1.5499999999999998</v>
      </c>
      <c r="Z8">
        <f>INDEX(Table3[#This Row],,Gesture_P1*4+3)</f>
        <v>2.85</v>
      </c>
      <c r="AA8">
        <f>75-INDEX(Table3[#This Row],,Gesture_P2*4)</f>
        <v>67</v>
      </c>
      <c r="AB8">
        <f>75-INDEX(Table3[#This Row],,Gesture_P2*4+1)</f>
        <v>67</v>
      </c>
      <c r="AC8">
        <f>INDEX(Table3[#This Row],,Gesture_P2*4+2)</f>
        <v>1.5499999999999998</v>
      </c>
      <c r="AD8">
        <f>INDEX(Table3[#This Row],,Gesture_P2*4+3)</f>
        <v>2.85</v>
      </c>
    </row>
    <row r="9" spans="1:56">
      <c r="B9" t="s">
        <v>822</v>
      </c>
      <c r="C9" t="e">
        <f>IF(GameInProgress=FALSE(),IFERROR(SUM(Table7[Winner])/ABS(SUM(Table7[Winner])),0),NA())</f>
        <v>#N/A</v>
      </c>
      <c r="E9" t="s">
        <v>823</v>
      </c>
      <c r="F9">
        <v>1</v>
      </c>
      <c r="H9">
        <f>ROW()-ROW(Table3[#Headers])</f>
        <v>7</v>
      </c>
      <c r="I9" t="s">
        <v>740</v>
      </c>
      <c r="J9" t="str">
        <f>TT!$O61</f>
        <v>Carpals Proxy 5</v>
      </c>
      <c r="K9">
        <v>14</v>
      </c>
      <c r="L9">
        <v>14</v>
      </c>
      <c r="M9">
        <v>2.3000000000000003</v>
      </c>
      <c r="N9">
        <v>2.1</v>
      </c>
      <c r="O9">
        <v>14</v>
      </c>
      <c r="P9">
        <v>14</v>
      </c>
      <c r="Q9">
        <v>2.3000000000000003</v>
      </c>
      <c r="R9">
        <v>2.1</v>
      </c>
      <c r="S9">
        <v>14</v>
      </c>
      <c r="T9">
        <v>14</v>
      </c>
      <c r="U9">
        <v>2.3000000000000003</v>
      </c>
      <c r="V9">
        <v>2.1</v>
      </c>
      <c r="W9">
        <f>INDEX(Table3[#This Row],,Gesture_P1*4)</f>
        <v>14</v>
      </c>
      <c r="X9">
        <f>INDEX(Table3[#This Row],,Gesture_P1*4+1)</f>
        <v>14</v>
      </c>
      <c r="Y9">
        <f>INDEX(Table3[#This Row],,Gesture_P1*4+2)</f>
        <v>2.3000000000000003</v>
      </c>
      <c r="Z9">
        <f>INDEX(Table3[#This Row],,Gesture_P1*4+3)</f>
        <v>2.1</v>
      </c>
      <c r="AA9">
        <f>75-INDEX(Table3[#This Row],,Gesture_P2*4)</f>
        <v>61</v>
      </c>
      <c r="AB9">
        <f>75-INDEX(Table3[#This Row],,Gesture_P2*4+1)</f>
        <v>61</v>
      </c>
      <c r="AC9">
        <f>INDEX(Table3[#This Row],,Gesture_P2*4+2)</f>
        <v>2.3000000000000003</v>
      </c>
      <c r="AD9">
        <f>INDEX(Table3[#This Row],,Gesture_P2*4+3)</f>
        <v>2.1</v>
      </c>
    </row>
    <row r="10" spans="1:56">
      <c r="B10" t="s">
        <v>824</v>
      </c>
      <c r="C10" t="str">
        <f>IFERROR(INDEX(Table8[RoundResult],MATCH(WinnerVal,Table8[ResultNum],0)),"")</f>
        <v/>
      </c>
      <c r="E10" t="s">
        <v>825</v>
      </c>
      <c r="F10">
        <v>1</v>
      </c>
      <c r="H10">
        <f>ROW()-ROW(Table3[#Headers])</f>
        <v>8</v>
      </c>
      <c r="I10" t="s">
        <v>742</v>
      </c>
      <c r="J10" t="str">
        <f>TT!$O62</f>
        <v>Distal Phalanges (T)</v>
      </c>
      <c r="K10">
        <v>14</v>
      </c>
      <c r="L10">
        <v>26.939764294607535</v>
      </c>
      <c r="M10">
        <v>3</v>
      </c>
      <c r="N10">
        <v>4.25</v>
      </c>
      <c r="O10">
        <v>14</v>
      </c>
      <c r="P10">
        <v>26.939764294607535</v>
      </c>
      <c r="Q10">
        <v>3</v>
      </c>
      <c r="R10">
        <v>4.25</v>
      </c>
      <c r="S10">
        <v>14</v>
      </c>
      <c r="T10">
        <v>26.939764294607535</v>
      </c>
      <c r="U10">
        <v>3</v>
      </c>
      <c r="V10">
        <v>4.25</v>
      </c>
      <c r="W10">
        <f>INDEX(Table3[#This Row],,Gesture_P1*4)</f>
        <v>14</v>
      </c>
      <c r="X10">
        <f>INDEX(Table3[#This Row],,Gesture_P1*4+1)</f>
        <v>26.939764294607535</v>
      </c>
      <c r="Y10">
        <f>INDEX(Table3[#This Row],,Gesture_P1*4+2)</f>
        <v>3</v>
      </c>
      <c r="Z10">
        <f>INDEX(Table3[#This Row],,Gesture_P1*4+3)</f>
        <v>4.25</v>
      </c>
      <c r="AA10">
        <f>75-INDEX(Table3[#This Row],,Gesture_P2*4)</f>
        <v>61</v>
      </c>
      <c r="AB10">
        <f>75-INDEX(Table3[#This Row],,Gesture_P2*4+1)</f>
        <v>48.060235705392465</v>
      </c>
      <c r="AC10">
        <f>INDEX(Table3[#This Row],,Gesture_P2*4+2)</f>
        <v>3</v>
      </c>
      <c r="AD10">
        <f>INDEX(Table3[#This Row],,Gesture_P2*4+3)</f>
        <v>4.25</v>
      </c>
    </row>
    <row r="11" spans="1:56">
      <c r="B11" t="s">
        <v>826</v>
      </c>
      <c r="C11" s="28" t="str">
        <f>IFERROR(SUM(Table7[Val_P1_1])/SUM(Table7[RoundPlayed]),"")</f>
        <v/>
      </c>
      <c r="H11">
        <f>ROW()-ROW(Table3[#Headers])</f>
        <v>9</v>
      </c>
      <c r="I11" t="s">
        <v>744</v>
      </c>
      <c r="J11" t="str">
        <f>TT!$O63</f>
        <v>Middle Phalanges (T)</v>
      </c>
      <c r="K11">
        <v>26.939764294607535</v>
      </c>
      <c r="L11">
        <v>27.989282090219302</v>
      </c>
      <c r="M11">
        <v>4.25</v>
      </c>
      <c r="N11">
        <v>4.2818181818181822</v>
      </c>
      <c r="O11">
        <v>26.939764294607535</v>
      </c>
      <c r="P11">
        <v>37.434942250725214</v>
      </c>
      <c r="Q11">
        <v>4.25</v>
      </c>
      <c r="R11">
        <v>4.5681818181818183</v>
      </c>
      <c r="S11">
        <v>26.939764294607535</v>
      </c>
      <c r="T11">
        <v>27.989282090219302</v>
      </c>
      <c r="U11">
        <v>4.25</v>
      </c>
      <c r="V11">
        <v>4.2818181818181822</v>
      </c>
      <c r="W11">
        <f>INDEX(Table3[#This Row],,Gesture_P1*4)</f>
        <v>26.939764294607535</v>
      </c>
      <c r="X11">
        <f>INDEX(Table3[#This Row],,Gesture_P1*4+1)</f>
        <v>37.434942250725214</v>
      </c>
      <c r="Y11">
        <f>INDEX(Table3[#This Row],,Gesture_P1*4+2)</f>
        <v>4.25</v>
      </c>
      <c r="Z11">
        <f>INDEX(Table3[#This Row],,Gesture_P1*4+3)</f>
        <v>4.5681818181818183</v>
      </c>
      <c r="AA11">
        <f>75-INDEX(Table3[#This Row],,Gesture_P2*4)</f>
        <v>48.060235705392465</v>
      </c>
      <c r="AB11">
        <f>75-INDEX(Table3[#This Row],,Gesture_P2*4+1)</f>
        <v>47.010717909780695</v>
      </c>
      <c r="AC11">
        <f>INDEX(Table3[#This Row],,Gesture_P2*4+2)</f>
        <v>4.25</v>
      </c>
      <c r="AD11">
        <f>INDEX(Table3[#This Row],,Gesture_P2*4+3)</f>
        <v>4.2818181818181822</v>
      </c>
    </row>
    <row r="12" spans="1:56">
      <c r="B12" t="s">
        <v>827</v>
      </c>
      <c r="C12" s="28" t="str">
        <f>IFERROR(SUM(Table7[Val_P1_2])/SUM(Table7[RoundPlayed]),"")</f>
        <v/>
      </c>
      <c r="H12">
        <f>ROW()-ROW(Table3[#Headers])</f>
        <v>10</v>
      </c>
      <c r="I12" t="s">
        <v>746</v>
      </c>
      <c r="J12" t="str">
        <f>TT!$O64</f>
        <v>Proximal Phalanges (T)</v>
      </c>
      <c r="K12">
        <v>27.989282090219302</v>
      </c>
      <c r="L12">
        <v>27.989282090219302</v>
      </c>
      <c r="M12">
        <v>4.2818181818181822</v>
      </c>
      <c r="N12">
        <v>4.2818181818181822</v>
      </c>
      <c r="O12">
        <v>37.434942250725214</v>
      </c>
      <c r="P12">
        <v>37.434942250725214</v>
      </c>
      <c r="Q12">
        <v>4.5681818181818183</v>
      </c>
      <c r="R12">
        <v>4.5681818181818183</v>
      </c>
      <c r="S12">
        <v>27.989282090219302</v>
      </c>
      <c r="T12">
        <v>27.989282090219302</v>
      </c>
      <c r="U12">
        <v>4.2818181818181822</v>
      </c>
      <c r="V12">
        <v>4.2818181818181822</v>
      </c>
      <c r="W12">
        <f>INDEX(Table3[#This Row],,Gesture_P1*4)</f>
        <v>37.434942250725214</v>
      </c>
      <c r="X12">
        <f>INDEX(Table3[#This Row],,Gesture_P1*4+1)</f>
        <v>37.434942250725214</v>
      </c>
      <c r="Y12">
        <f>INDEX(Table3[#This Row],,Gesture_P1*4+2)</f>
        <v>4.5681818181818183</v>
      </c>
      <c r="Z12">
        <f>INDEX(Table3[#This Row],,Gesture_P1*4+3)</f>
        <v>4.5681818181818183</v>
      </c>
      <c r="AA12">
        <f>75-INDEX(Table3[#This Row],,Gesture_P2*4)</f>
        <v>47.010717909780695</v>
      </c>
      <c r="AB12">
        <f>75-INDEX(Table3[#This Row],,Gesture_P2*4+1)</f>
        <v>47.010717909780695</v>
      </c>
      <c r="AC12">
        <f>INDEX(Table3[#This Row],,Gesture_P2*4+2)</f>
        <v>4.2818181818181822</v>
      </c>
      <c r="AD12">
        <f>INDEX(Table3[#This Row],,Gesture_P2*4+3)</f>
        <v>4.2818181818181822</v>
      </c>
    </row>
    <row r="13" spans="1:56">
      <c r="B13" t="s">
        <v>828</v>
      </c>
      <c r="C13" s="28" t="str">
        <f>IFERROR(SUM(Table7[Val_P1_3])/SUM(Table7[RoundPlayed]),"")</f>
        <v/>
      </c>
      <c r="H13">
        <f>ROW()-ROW(Table3[#Headers])</f>
        <v>11</v>
      </c>
      <c r="I13" t="s">
        <v>747</v>
      </c>
      <c r="J13" t="str">
        <f>TT!$O65</f>
        <v>Metacarpals (T)</v>
      </c>
      <c r="K13">
        <v>27.989282090219302</v>
      </c>
      <c r="L13">
        <v>24.540866476066348</v>
      </c>
      <c r="M13">
        <v>4.2818181818181822</v>
      </c>
      <c r="N13">
        <v>4.1772727272727277</v>
      </c>
      <c r="O13">
        <v>37.434942250725214</v>
      </c>
      <c r="P13">
        <v>43.432186797078174</v>
      </c>
      <c r="Q13">
        <v>4.5681818181818183</v>
      </c>
      <c r="R13">
        <v>4.75</v>
      </c>
      <c r="S13">
        <v>27.989282090219302</v>
      </c>
      <c r="T13">
        <v>24.540866476066348</v>
      </c>
      <c r="U13">
        <v>4.2818181818181822</v>
      </c>
      <c r="V13">
        <v>4.1772727272727277</v>
      </c>
      <c r="W13">
        <f>INDEX(Table3[#This Row],,Gesture_P1*4)</f>
        <v>37.434942250725214</v>
      </c>
      <c r="X13">
        <f>INDEX(Table3[#This Row],,Gesture_P1*4+1)</f>
        <v>43.432186797078174</v>
      </c>
      <c r="Y13">
        <f>INDEX(Table3[#This Row],,Gesture_P1*4+2)</f>
        <v>4.5681818181818183</v>
      </c>
      <c r="Z13">
        <f>INDEX(Table3[#This Row],,Gesture_P1*4+3)</f>
        <v>4.75</v>
      </c>
      <c r="AA13">
        <f>75-INDEX(Table3[#This Row],,Gesture_P2*4)</f>
        <v>47.010717909780695</v>
      </c>
      <c r="AB13">
        <f>75-INDEX(Table3[#This Row],,Gesture_P2*4+1)</f>
        <v>50.459133523933652</v>
      </c>
      <c r="AC13">
        <f>INDEX(Table3[#This Row],,Gesture_P2*4+2)</f>
        <v>4.2818181818181822</v>
      </c>
      <c r="AD13">
        <f>INDEX(Table3[#This Row],,Gesture_P2*4+3)</f>
        <v>4.1772727272727277</v>
      </c>
    </row>
    <row r="14" spans="1:56">
      <c r="B14" t="s">
        <v>829</v>
      </c>
      <c r="C14" s="28" t="str">
        <f>IFERROR(SUM(Table7[Val_P2_1])/SUM(Table7[RoundPlayed]),"")</f>
        <v/>
      </c>
      <c r="H14">
        <f>ROW()-ROW(Table3[#Headers])</f>
        <v>12</v>
      </c>
      <c r="I14" t="s">
        <v>748</v>
      </c>
      <c r="J14" t="str">
        <f>TT!$O66</f>
        <v>Distal Phalanges (I)</v>
      </c>
      <c r="K14">
        <v>16</v>
      </c>
      <c r="L14">
        <v>38.99733680233431</v>
      </c>
      <c r="M14">
        <v>2.75</v>
      </c>
      <c r="N14">
        <v>3.1</v>
      </c>
      <c r="O14">
        <v>16</v>
      </c>
      <c r="P14">
        <v>38.99733680233431</v>
      </c>
      <c r="Q14">
        <v>2.75</v>
      </c>
      <c r="R14">
        <v>3.1</v>
      </c>
      <c r="S14">
        <v>16</v>
      </c>
      <c r="T14">
        <v>38.99733680233431</v>
      </c>
      <c r="U14">
        <v>2.75</v>
      </c>
      <c r="V14">
        <v>3.1</v>
      </c>
      <c r="W14">
        <f>INDEX(Table3[#This Row],,Gesture_P1*4)</f>
        <v>16</v>
      </c>
      <c r="X14">
        <f>INDEX(Table3[#This Row],,Gesture_P1*4+1)</f>
        <v>38.99733680233431</v>
      </c>
      <c r="Y14">
        <f>INDEX(Table3[#This Row],,Gesture_P1*4+2)</f>
        <v>2.75</v>
      </c>
      <c r="Z14">
        <f>INDEX(Table3[#This Row],,Gesture_P1*4+3)</f>
        <v>3.1</v>
      </c>
      <c r="AA14">
        <f>75-INDEX(Table3[#This Row],,Gesture_P2*4)</f>
        <v>59</v>
      </c>
      <c r="AB14">
        <f>75-INDEX(Table3[#This Row],,Gesture_P2*4+1)</f>
        <v>36.00266319766569</v>
      </c>
      <c r="AC14">
        <f>INDEX(Table3[#This Row],,Gesture_P2*4+2)</f>
        <v>2.75</v>
      </c>
      <c r="AD14">
        <f>INDEX(Table3[#This Row],,Gesture_P2*4+3)</f>
        <v>3.1</v>
      </c>
    </row>
    <row r="15" spans="1:56">
      <c r="B15" t="s">
        <v>830</v>
      </c>
      <c r="C15" s="28" t="str">
        <f>IFERROR(SUM(Table7[Val_P2_2])/SUM(Table7[RoundPlayed]),"")</f>
        <v/>
      </c>
      <c r="H15">
        <f>ROW()-ROW(Table3[#Headers])</f>
        <v>13</v>
      </c>
      <c r="I15" t="s">
        <v>749</v>
      </c>
      <c r="J15" t="str">
        <f>TT!$O67</f>
        <v>Middle Phalanges (I)</v>
      </c>
      <c r="K15">
        <v>38.99733680233431</v>
      </c>
      <c r="L15">
        <v>40.497316736801764</v>
      </c>
      <c r="M15">
        <v>3.1</v>
      </c>
      <c r="N15">
        <v>3.1077586206896552</v>
      </c>
      <c r="O15">
        <v>38.99733680233431</v>
      </c>
      <c r="P15">
        <v>53.997136147008874</v>
      </c>
      <c r="Q15">
        <v>3.1</v>
      </c>
      <c r="R15">
        <v>3.1775862068965517</v>
      </c>
      <c r="S15">
        <v>38.99733680233431</v>
      </c>
      <c r="T15">
        <v>53.997136147008874</v>
      </c>
      <c r="U15">
        <v>3.1</v>
      </c>
      <c r="V15">
        <v>3.1775862068965517</v>
      </c>
      <c r="W15">
        <f>INDEX(Table3[#This Row],,Gesture_P1*4)</f>
        <v>38.99733680233431</v>
      </c>
      <c r="X15">
        <f>INDEX(Table3[#This Row],,Gesture_P1*4+1)</f>
        <v>53.997136147008874</v>
      </c>
      <c r="Y15">
        <f>INDEX(Table3[#This Row],,Gesture_P1*4+2)</f>
        <v>3.1</v>
      </c>
      <c r="Z15">
        <f>INDEX(Table3[#This Row],,Gesture_P1*4+3)</f>
        <v>3.1775862068965517</v>
      </c>
      <c r="AA15">
        <f>75-INDEX(Table3[#This Row],,Gesture_P2*4)</f>
        <v>36.00266319766569</v>
      </c>
      <c r="AB15">
        <f>75-INDEX(Table3[#This Row],,Gesture_P2*4+1)</f>
        <v>34.502683263198236</v>
      </c>
      <c r="AC15">
        <f>INDEX(Table3[#This Row],,Gesture_P2*4+2)</f>
        <v>3.1</v>
      </c>
      <c r="AD15">
        <f>INDEX(Table3[#This Row],,Gesture_P2*4+3)</f>
        <v>3.1077586206896552</v>
      </c>
    </row>
    <row r="16" spans="1:56">
      <c r="B16" t="s">
        <v>831</v>
      </c>
      <c r="C16" s="28" t="str">
        <f>IFERROR(SUM(Table7[Val_P2_3])/SUM(Table7[RoundPlayed]),"")</f>
        <v/>
      </c>
      <c r="H16">
        <f>ROW()-ROW(Table3[#Headers])</f>
        <v>14</v>
      </c>
      <c r="I16" t="s">
        <v>750</v>
      </c>
      <c r="J16" t="str">
        <f>TT!$O68</f>
        <v>Proximal Phalanges (I)</v>
      </c>
      <c r="K16">
        <v>40.497316736801764</v>
      </c>
      <c r="L16">
        <v>35.322385962889044</v>
      </c>
      <c r="M16">
        <v>3.1077586206896552</v>
      </c>
      <c r="N16">
        <v>3.0809913793103449</v>
      </c>
      <c r="O16">
        <v>53.997136147008874</v>
      </c>
      <c r="P16">
        <v>62.997015753813614</v>
      </c>
      <c r="Q16">
        <v>3.1775862068965517</v>
      </c>
      <c r="R16">
        <v>3.2241379310344827</v>
      </c>
      <c r="S16">
        <v>53.997136147008874</v>
      </c>
      <c r="T16">
        <v>62.997015753813614</v>
      </c>
      <c r="U16">
        <v>3.1775862068965517</v>
      </c>
      <c r="V16">
        <v>3.2241379310344827</v>
      </c>
      <c r="W16">
        <f>INDEX(Table3[#This Row],,Gesture_P1*4)</f>
        <v>53.997136147008874</v>
      </c>
      <c r="X16">
        <f>INDEX(Table3[#This Row],,Gesture_P1*4+1)</f>
        <v>62.997015753813614</v>
      </c>
      <c r="Y16">
        <f>INDEX(Table3[#This Row],,Gesture_P1*4+2)</f>
        <v>3.1775862068965517</v>
      </c>
      <c r="Z16">
        <f>INDEX(Table3[#This Row],,Gesture_P1*4+3)</f>
        <v>3.2241379310344827</v>
      </c>
      <c r="AA16">
        <f>75-INDEX(Table3[#This Row],,Gesture_P2*4)</f>
        <v>34.502683263198236</v>
      </c>
      <c r="AB16">
        <f>75-INDEX(Table3[#This Row],,Gesture_P2*4+1)</f>
        <v>39.677614037110956</v>
      </c>
      <c r="AC16">
        <f>INDEX(Table3[#This Row],,Gesture_P2*4+2)</f>
        <v>3.1077586206896552</v>
      </c>
      <c r="AD16">
        <f>INDEX(Table3[#This Row],,Gesture_P2*4+3)</f>
        <v>3.0809913793103449</v>
      </c>
    </row>
    <row r="17" spans="2:30">
      <c r="B17" t="s">
        <v>500</v>
      </c>
      <c r="C17" t="b">
        <f>'Data In'!D5=1</f>
        <v>0</v>
      </c>
      <c r="H17">
        <f>ROW()-ROW(Table3[#Headers])</f>
        <v>15</v>
      </c>
      <c r="I17" t="s">
        <v>751</v>
      </c>
      <c r="J17" t="str">
        <f>TT!$O69</f>
        <v>Metacarpals (I)</v>
      </c>
      <c r="K17">
        <v>35.322385962889044</v>
      </c>
      <c r="L17">
        <v>30.322452847997521</v>
      </c>
      <c r="M17">
        <v>3.0809913793103449</v>
      </c>
      <c r="N17">
        <v>3.055129310344828</v>
      </c>
      <c r="O17">
        <v>62.997015753813614</v>
      </c>
      <c r="P17">
        <v>67.996948868705132</v>
      </c>
      <c r="Q17">
        <v>3.2241379310344827</v>
      </c>
      <c r="R17">
        <v>3.25</v>
      </c>
      <c r="S17">
        <v>62.997015753813614</v>
      </c>
      <c r="T17">
        <v>67.996948868705132</v>
      </c>
      <c r="U17">
        <v>3.2241379310344827</v>
      </c>
      <c r="V17">
        <v>3.25</v>
      </c>
      <c r="W17">
        <f>INDEX(Table3[#This Row],,Gesture_P1*4)</f>
        <v>62.997015753813614</v>
      </c>
      <c r="X17">
        <f>INDEX(Table3[#This Row],,Gesture_P1*4+1)</f>
        <v>67.996948868705132</v>
      </c>
      <c r="Y17">
        <f>INDEX(Table3[#This Row],,Gesture_P1*4+2)</f>
        <v>3.2241379310344827</v>
      </c>
      <c r="Z17">
        <f>INDEX(Table3[#This Row],,Gesture_P1*4+3)</f>
        <v>3.25</v>
      </c>
      <c r="AA17">
        <f>75-INDEX(Table3[#This Row],,Gesture_P2*4)</f>
        <v>39.677614037110956</v>
      </c>
      <c r="AB17">
        <f>75-INDEX(Table3[#This Row],,Gesture_P2*4+1)</f>
        <v>44.677547152002475</v>
      </c>
      <c r="AC17">
        <f>INDEX(Table3[#This Row],,Gesture_P2*4+2)</f>
        <v>3.0809913793103449</v>
      </c>
      <c r="AD17">
        <f>INDEX(Table3[#This Row],,Gesture_P2*4+3)</f>
        <v>3.055129310344828</v>
      </c>
    </row>
    <row r="18" spans="2:30">
      <c r="C18" s="48" t="str">
        <f>IF(C23=0,TT!$O$47,IF(AND(Match_Complete,C22=1),TT!$O$47,IF(AND(Match_Complete,C22=0),TT!$O$106,TT!$O$48)))</f>
        <v>Start New Match </v>
      </c>
      <c r="H18">
        <f>ROW()-ROW(Table3[#Headers])</f>
        <v>16</v>
      </c>
      <c r="I18" t="s">
        <v>752</v>
      </c>
      <c r="J18" t="str">
        <f>TT!$O70</f>
        <v>Distal Phalanges (M)</v>
      </c>
      <c r="K18">
        <v>16.2</v>
      </c>
      <c r="L18">
        <v>39.199945652109704</v>
      </c>
      <c r="M18">
        <v>2.2999999999999998</v>
      </c>
      <c r="N18">
        <v>2.25</v>
      </c>
      <c r="O18">
        <v>16.2</v>
      </c>
      <c r="P18">
        <v>39.199945652109704</v>
      </c>
      <c r="Q18">
        <v>2.2999999999999998</v>
      </c>
      <c r="R18">
        <v>2.25</v>
      </c>
      <c r="S18">
        <v>16.2</v>
      </c>
      <c r="T18">
        <v>39.199945652109704</v>
      </c>
      <c r="U18">
        <v>2.2999999999999998</v>
      </c>
      <c r="V18">
        <v>2.25</v>
      </c>
      <c r="W18">
        <f>INDEX(Table3[#This Row],,Gesture_P1*4)</f>
        <v>16.2</v>
      </c>
      <c r="X18">
        <f>INDEX(Table3[#This Row],,Gesture_P1*4+1)</f>
        <v>39.199945652109704</v>
      </c>
      <c r="Y18">
        <f>INDEX(Table3[#This Row],,Gesture_P1*4+2)</f>
        <v>2.2999999999999998</v>
      </c>
      <c r="Z18">
        <f>INDEX(Table3[#This Row],,Gesture_P1*4+3)</f>
        <v>2.25</v>
      </c>
      <c r="AA18">
        <f>75-INDEX(Table3[#This Row],,Gesture_P2*4)</f>
        <v>58.8</v>
      </c>
      <c r="AB18">
        <f>75-INDEX(Table3[#This Row],,Gesture_P2*4+1)</f>
        <v>35.800054347890296</v>
      </c>
      <c r="AC18">
        <f>INDEX(Table3[#This Row],,Gesture_P2*4+2)</f>
        <v>2.2999999999999998</v>
      </c>
      <c r="AD18">
        <f>INDEX(Table3[#This Row],,Gesture_P2*4+3)</f>
        <v>2.25</v>
      </c>
    </row>
    <row r="19" spans="2:30">
      <c r="C19" t="str">
        <f>_xlfn.SWITCH(Countdown_Timer,3,TT!$O$43,2,TT!$O$44,1,TT!$O$45,0,"","")</f>
        <v/>
      </c>
      <c r="H19">
        <f>ROW()-ROW(Table3[#Headers])</f>
        <v>17</v>
      </c>
      <c r="I19" t="s">
        <v>753</v>
      </c>
      <c r="J19" t="str">
        <f>TT!$O71</f>
        <v>Middle Phalanges (M)</v>
      </c>
      <c r="K19">
        <v>39.199945652109704</v>
      </c>
      <c r="L19">
        <v>40.899937846765802</v>
      </c>
      <c r="M19">
        <v>2.25</v>
      </c>
      <c r="N19">
        <v>2.2448484848484846</v>
      </c>
      <c r="O19">
        <v>39.199945652109704</v>
      </c>
      <c r="P19">
        <v>56.19986759867065</v>
      </c>
      <c r="Q19">
        <v>2.25</v>
      </c>
      <c r="R19">
        <v>2.1984848484848483</v>
      </c>
      <c r="S19">
        <v>39.199945652109704</v>
      </c>
      <c r="T19">
        <v>56.19986759867065</v>
      </c>
      <c r="U19">
        <v>2.25</v>
      </c>
      <c r="V19">
        <v>2.1984848484848483</v>
      </c>
      <c r="W19">
        <f>INDEX(Table3[#This Row],,Gesture_P1*4)</f>
        <v>39.199945652109704</v>
      </c>
      <c r="X19">
        <f>INDEX(Table3[#This Row],,Gesture_P1*4+1)</f>
        <v>56.19986759867065</v>
      </c>
      <c r="Y19">
        <f>INDEX(Table3[#This Row],,Gesture_P1*4+2)</f>
        <v>2.25</v>
      </c>
      <c r="Z19">
        <f>INDEX(Table3[#This Row],,Gesture_P1*4+3)</f>
        <v>2.1984848484848483</v>
      </c>
      <c r="AA19">
        <f>75-INDEX(Table3[#This Row],,Gesture_P2*4)</f>
        <v>35.800054347890296</v>
      </c>
      <c r="AB19">
        <f>75-INDEX(Table3[#This Row],,Gesture_P2*4+1)</f>
        <v>34.100062153234198</v>
      </c>
      <c r="AC19">
        <f>INDEX(Table3[#This Row],,Gesture_P2*4+2)</f>
        <v>2.25</v>
      </c>
      <c r="AD19">
        <f>INDEX(Table3[#This Row],,Gesture_P2*4+3)</f>
        <v>2.2448484848484846</v>
      </c>
    </row>
    <row r="20" spans="2:30">
      <c r="C20" t="e">
        <f>IF(Match_Complete,1,NA())</f>
        <v>#N/A</v>
      </c>
      <c r="H20">
        <f>ROW()-ROW(Table3[#Headers])</f>
        <v>18</v>
      </c>
      <c r="I20" t="s">
        <v>754</v>
      </c>
      <c r="J20" t="str">
        <f>TT!$O72</f>
        <v>Proximal Phalanges (M)</v>
      </c>
      <c r="K20">
        <v>40.899937846765802</v>
      </c>
      <c r="L20">
        <v>34.574966887236506</v>
      </c>
      <c r="M20">
        <v>2.2448484848484846</v>
      </c>
      <c r="N20">
        <v>2.2640151515151512</v>
      </c>
      <c r="O20">
        <v>56.19986759867065</v>
      </c>
      <c r="P20">
        <v>67.199817093504208</v>
      </c>
      <c r="Q20">
        <v>2.1984848484848483</v>
      </c>
      <c r="R20">
        <v>2.165151515151515</v>
      </c>
      <c r="S20">
        <v>56.19986759867065</v>
      </c>
      <c r="T20">
        <v>67.199817093504208</v>
      </c>
      <c r="U20">
        <v>2.1984848484848483</v>
      </c>
      <c r="V20">
        <v>2.165151515151515</v>
      </c>
      <c r="W20">
        <f>INDEX(Table3[#This Row],,Gesture_P1*4)</f>
        <v>56.19986759867065</v>
      </c>
      <c r="X20">
        <f>INDEX(Table3[#This Row],,Gesture_P1*4+1)</f>
        <v>67.199817093504208</v>
      </c>
      <c r="Y20">
        <f>INDEX(Table3[#This Row],,Gesture_P1*4+2)</f>
        <v>2.1984848484848483</v>
      </c>
      <c r="Z20">
        <f>INDEX(Table3[#This Row],,Gesture_P1*4+3)</f>
        <v>2.165151515151515</v>
      </c>
      <c r="AA20">
        <f>75-INDEX(Table3[#This Row],,Gesture_P2*4)</f>
        <v>34.100062153234198</v>
      </c>
      <c r="AB20">
        <f>75-INDEX(Table3[#This Row],,Gesture_P2*4+1)</f>
        <v>40.425033112763494</v>
      </c>
      <c r="AC20">
        <f>INDEX(Table3[#This Row],,Gesture_P2*4+2)</f>
        <v>2.2448484848484846</v>
      </c>
      <c r="AD20">
        <f>INDEX(Table3[#This Row],,Gesture_P2*4+3)</f>
        <v>2.2640151515151512</v>
      </c>
    </row>
    <row r="21" spans="2:30">
      <c r="C21">
        <f>IF(Match_Complete,NA(),1)</f>
        <v>1</v>
      </c>
      <c r="H21">
        <f>ROW()-ROW(Table3[#Headers])</f>
        <v>19</v>
      </c>
      <c r="I21" t="s">
        <v>755</v>
      </c>
      <c r="J21" t="str">
        <f>TT!$O73</f>
        <v>Metacarpals (M)</v>
      </c>
      <c r="K21">
        <v>34.574966887236506</v>
      </c>
      <c r="L21">
        <v>29.574989844130346</v>
      </c>
      <c r="M21">
        <v>2.2640151515151512</v>
      </c>
      <c r="N21">
        <v>2.2791666666666663</v>
      </c>
      <c r="O21">
        <v>67.199817093504208</v>
      </c>
      <c r="P21">
        <v>72.199794136610365</v>
      </c>
      <c r="Q21">
        <v>2.165151515151515</v>
      </c>
      <c r="R21">
        <v>2.15</v>
      </c>
      <c r="S21">
        <v>67.199817093504208</v>
      </c>
      <c r="T21">
        <v>72.199794136610365</v>
      </c>
      <c r="U21">
        <v>2.165151515151515</v>
      </c>
      <c r="V21">
        <v>2.15</v>
      </c>
      <c r="W21">
        <f>INDEX(Table3[#This Row],,Gesture_P1*4)</f>
        <v>67.199817093504208</v>
      </c>
      <c r="X21">
        <f>INDEX(Table3[#This Row],,Gesture_P1*4+1)</f>
        <v>72.199794136610365</v>
      </c>
      <c r="Y21">
        <f>INDEX(Table3[#This Row],,Gesture_P1*4+2)</f>
        <v>2.165151515151515</v>
      </c>
      <c r="Z21">
        <f>INDEX(Table3[#This Row],,Gesture_P1*4+3)</f>
        <v>2.15</v>
      </c>
      <c r="AA21">
        <f>75-INDEX(Table3[#This Row],,Gesture_P2*4)</f>
        <v>40.425033112763494</v>
      </c>
      <c r="AB21">
        <f>75-INDEX(Table3[#This Row],,Gesture_P2*4+1)</f>
        <v>45.425010155869657</v>
      </c>
      <c r="AC21">
        <f>INDEX(Table3[#This Row],,Gesture_P2*4+2)</f>
        <v>2.2640151515151512</v>
      </c>
      <c r="AD21">
        <f>INDEX(Table3[#This Row],,Gesture_P2*4+3)</f>
        <v>2.2791666666666663</v>
      </c>
    </row>
    <row r="22" spans="2:30">
      <c r="B22" t="s">
        <v>832</v>
      </c>
      <c r="C22">
        <v>0</v>
      </c>
      <c r="H22">
        <f>ROW()-ROW(Table3[#Headers])</f>
        <v>20</v>
      </c>
      <c r="I22" t="s">
        <v>756</v>
      </c>
      <c r="J22" t="str">
        <f>TT!$O74</f>
        <v>Distal Phalanges (R)</v>
      </c>
      <c r="K22">
        <v>16.3</v>
      </c>
      <c r="L22">
        <v>36.294936859115111</v>
      </c>
      <c r="M22">
        <v>1.9</v>
      </c>
      <c r="N22">
        <v>1.4500000000000002</v>
      </c>
      <c r="O22">
        <v>16.3</v>
      </c>
      <c r="P22">
        <v>36.294936859115111</v>
      </c>
      <c r="Q22">
        <v>1.9</v>
      </c>
      <c r="R22">
        <v>1.4500000000000002</v>
      </c>
      <c r="S22">
        <v>16.3</v>
      </c>
      <c r="T22">
        <v>36.294936859115111</v>
      </c>
      <c r="U22">
        <v>1.9</v>
      </c>
      <c r="V22">
        <v>1.4500000000000002</v>
      </c>
      <c r="W22">
        <f>INDEX(Table3[#This Row],,Gesture_P1*4)</f>
        <v>16.3</v>
      </c>
      <c r="X22">
        <f>INDEX(Table3[#This Row],,Gesture_P1*4+1)</f>
        <v>36.294936859115111</v>
      </c>
      <c r="Y22">
        <f>INDEX(Table3[#This Row],,Gesture_P1*4+2)</f>
        <v>1.9</v>
      </c>
      <c r="Z22">
        <f>INDEX(Table3[#This Row],,Gesture_P1*4+3)</f>
        <v>1.4500000000000002</v>
      </c>
      <c r="AA22">
        <f>75-INDEX(Table3[#This Row],,Gesture_P2*4)</f>
        <v>58.7</v>
      </c>
      <c r="AB22">
        <f>75-INDEX(Table3[#This Row],,Gesture_P2*4+1)</f>
        <v>38.705063140884889</v>
      </c>
      <c r="AC22">
        <f>INDEX(Table3[#This Row],,Gesture_P2*4+2)</f>
        <v>1.9</v>
      </c>
      <c r="AD22">
        <f>INDEX(Table3[#This Row],,Gesture_P2*4+3)</f>
        <v>1.4500000000000002</v>
      </c>
    </row>
    <row r="23" spans="2:30">
      <c r="C23">
        <f>COUNTA('Data In'!A5:W5)</f>
        <v>0</v>
      </c>
      <c r="H23">
        <f>ROW()-ROW(Table3[#Headers])</f>
        <v>21</v>
      </c>
      <c r="I23" t="s">
        <v>757</v>
      </c>
      <c r="J23" t="str">
        <f>TT!$O75</f>
        <v>Middle Phalanges (R)</v>
      </c>
      <c r="K23">
        <v>36.294936859115111</v>
      </c>
      <c r="L23">
        <v>37.794866618136489</v>
      </c>
      <c r="M23">
        <v>1.4500000000000002</v>
      </c>
      <c r="N23">
        <v>1.435483870967742</v>
      </c>
      <c r="O23">
        <v>36.294936859115111</v>
      </c>
      <c r="P23">
        <v>51.294234449328854</v>
      </c>
      <c r="Q23">
        <v>1.4500000000000002</v>
      </c>
      <c r="R23">
        <v>1.3048387096774192</v>
      </c>
      <c r="S23">
        <v>36.294936859115111</v>
      </c>
      <c r="T23">
        <v>37.794866618136489</v>
      </c>
      <c r="U23">
        <v>1.4500000000000002</v>
      </c>
      <c r="V23">
        <v>1.435483870967742</v>
      </c>
      <c r="W23">
        <f>INDEX(Table3[#This Row],,Gesture_P1*4)</f>
        <v>36.294936859115111</v>
      </c>
      <c r="X23">
        <f>INDEX(Table3[#This Row],,Gesture_P1*4+1)</f>
        <v>51.294234449328854</v>
      </c>
      <c r="Y23">
        <f>INDEX(Table3[#This Row],,Gesture_P1*4+2)</f>
        <v>1.4500000000000002</v>
      </c>
      <c r="Z23">
        <f>INDEX(Table3[#This Row],,Gesture_P1*4+3)</f>
        <v>1.3048387096774192</v>
      </c>
      <c r="AA23">
        <f>75-INDEX(Table3[#This Row],,Gesture_P2*4)</f>
        <v>38.705063140884889</v>
      </c>
      <c r="AB23">
        <f>75-INDEX(Table3[#This Row],,Gesture_P2*4+1)</f>
        <v>37.205133381863511</v>
      </c>
      <c r="AC23">
        <f>INDEX(Table3[#This Row],,Gesture_P2*4+2)</f>
        <v>1.4500000000000002</v>
      </c>
      <c r="AD23">
        <f>INDEX(Table3[#This Row],,Gesture_P2*4+3)</f>
        <v>1.435483870967742</v>
      </c>
    </row>
    <row r="24" spans="2:30">
      <c r="H24">
        <f>ROW()-ROW(Table3[#Headers])</f>
        <v>22</v>
      </c>
      <c r="I24" t="s">
        <v>758</v>
      </c>
      <c r="J24" t="str">
        <f>TT!$O76</f>
        <v>Proximal Phalanges (R)</v>
      </c>
      <c r="K24">
        <v>37.794866618136489</v>
      </c>
      <c r="L24">
        <v>31.470162800929693</v>
      </c>
      <c r="M24">
        <v>1.435483870967742</v>
      </c>
      <c r="N24">
        <v>1.4966935483870967</v>
      </c>
      <c r="O24">
        <v>51.294234449328854</v>
      </c>
      <c r="P24">
        <v>62.293719348818932</v>
      </c>
      <c r="Q24">
        <v>1.3048387096774192</v>
      </c>
      <c r="R24">
        <v>1.1983870967741934</v>
      </c>
      <c r="S24">
        <v>37.794866618136489</v>
      </c>
      <c r="T24">
        <v>31.470162800929693</v>
      </c>
      <c r="U24">
        <v>1.435483870967742</v>
      </c>
      <c r="V24">
        <v>1.4966935483870967</v>
      </c>
      <c r="W24">
        <f>INDEX(Table3[#This Row],,Gesture_P1*4)</f>
        <v>51.294234449328854</v>
      </c>
      <c r="X24">
        <f>INDEX(Table3[#This Row],,Gesture_P1*4+1)</f>
        <v>62.293719348818932</v>
      </c>
      <c r="Y24">
        <f>INDEX(Table3[#This Row],,Gesture_P1*4+2)</f>
        <v>1.3048387096774192</v>
      </c>
      <c r="Z24">
        <f>INDEX(Table3[#This Row],,Gesture_P1*4+3)</f>
        <v>1.1983870967741934</v>
      </c>
      <c r="AA24">
        <f>75-INDEX(Table3[#This Row],,Gesture_P2*4)</f>
        <v>37.205133381863511</v>
      </c>
      <c r="AB24">
        <f>75-INDEX(Table3[#This Row],,Gesture_P2*4+1)</f>
        <v>43.529837199070307</v>
      </c>
      <c r="AC24">
        <f>INDEX(Table3[#This Row],,Gesture_P2*4+2)</f>
        <v>1.435483870967742</v>
      </c>
      <c r="AD24">
        <f>INDEX(Table3[#This Row],,Gesture_P2*4+3)</f>
        <v>1.4966935483870967</v>
      </c>
    </row>
    <row r="25" spans="2:30">
      <c r="H25">
        <f>ROW()-ROW(Table3[#Headers])</f>
        <v>23</v>
      </c>
      <c r="I25" t="s">
        <v>759</v>
      </c>
      <c r="J25" t="str">
        <f>TT!$O77</f>
        <v>Metacarpals (R)</v>
      </c>
      <c r="K25">
        <v>31.470162800929693</v>
      </c>
      <c r="L25">
        <v>26.470396937525109</v>
      </c>
      <c r="M25">
        <v>1.4966935483870967</v>
      </c>
      <c r="N25">
        <v>1.5450806451612902</v>
      </c>
      <c r="O25">
        <v>62.293719348818932</v>
      </c>
      <c r="P25">
        <v>67.293485212223516</v>
      </c>
      <c r="Q25">
        <v>1.1983870967741934</v>
      </c>
      <c r="R25">
        <v>1.1499999999999999</v>
      </c>
      <c r="S25">
        <v>31.470162800929693</v>
      </c>
      <c r="T25">
        <v>26.470396937525109</v>
      </c>
      <c r="U25">
        <v>1.4966935483870967</v>
      </c>
      <c r="V25">
        <v>1.5450806451612902</v>
      </c>
      <c r="W25">
        <f>INDEX(Table3[#This Row],,Gesture_P1*4)</f>
        <v>62.293719348818932</v>
      </c>
      <c r="X25">
        <f>INDEX(Table3[#This Row],,Gesture_P1*4+1)</f>
        <v>67.293485212223516</v>
      </c>
      <c r="Y25">
        <f>INDEX(Table3[#This Row],,Gesture_P1*4+2)</f>
        <v>1.1983870967741934</v>
      </c>
      <c r="Z25">
        <f>INDEX(Table3[#This Row],,Gesture_P1*4+3)</f>
        <v>1.1499999999999999</v>
      </c>
      <c r="AA25">
        <f>75-INDEX(Table3[#This Row],,Gesture_P2*4)</f>
        <v>43.529837199070307</v>
      </c>
      <c r="AB25">
        <f>75-INDEX(Table3[#This Row],,Gesture_P2*4+1)</f>
        <v>48.529603062474891</v>
      </c>
      <c r="AC25">
        <f>INDEX(Table3[#This Row],,Gesture_P2*4+2)</f>
        <v>1.4966935483870967</v>
      </c>
      <c r="AD25">
        <f>INDEX(Table3[#This Row],,Gesture_P2*4+3)</f>
        <v>1.5450806451612902</v>
      </c>
    </row>
    <row r="26" spans="2:30">
      <c r="H26">
        <f>ROW()-ROW(Table3[#Headers])</f>
        <v>24</v>
      </c>
      <c r="I26" t="s">
        <v>760</v>
      </c>
      <c r="J26" t="str">
        <f>TT!$O78</f>
        <v>Distal Phalanges (P)</v>
      </c>
      <c r="K26">
        <v>15</v>
      </c>
      <c r="L26">
        <v>30.984680165708667</v>
      </c>
      <c r="M26">
        <v>1.5499999999999998</v>
      </c>
      <c r="N26">
        <v>0.84999999999999964</v>
      </c>
      <c r="O26">
        <v>15</v>
      </c>
      <c r="P26">
        <v>30.984680165708667</v>
      </c>
      <c r="Q26">
        <v>1.5499999999999998</v>
      </c>
      <c r="R26">
        <v>0.84999999999999964</v>
      </c>
      <c r="S26">
        <v>15</v>
      </c>
      <c r="T26">
        <v>30.984680165708667</v>
      </c>
      <c r="U26">
        <v>1.5499999999999998</v>
      </c>
      <c r="V26">
        <v>0.84999999999999964</v>
      </c>
      <c r="W26">
        <f>INDEX(Table3[#This Row],,Gesture_P1*4)</f>
        <v>15</v>
      </c>
      <c r="X26">
        <f>INDEX(Table3[#This Row],,Gesture_P1*4+1)</f>
        <v>30.984680165708667</v>
      </c>
      <c r="Y26">
        <f>INDEX(Table3[#This Row],,Gesture_P1*4+2)</f>
        <v>1.5499999999999998</v>
      </c>
      <c r="Z26">
        <f>INDEX(Table3[#This Row],,Gesture_P1*4+3)</f>
        <v>0.84999999999999964</v>
      </c>
      <c r="AA26">
        <f>75-INDEX(Table3[#This Row],,Gesture_P2*4)</f>
        <v>60</v>
      </c>
      <c r="AB26">
        <f>75-INDEX(Table3[#This Row],,Gesture_P2*4+1)</f>
        <v>44.015319834291333</v>
      </c>
      <c r="AC26">
        <f>INDEX(Table3[#This Row],,Gesture_P2*4+2)</f>
        <v>1.5499999999999998</v>
      </c>
      <c r="AD26">
        <f>INDEX(Table3[#This Row],,Gesture_P2*4+3)</f>
        <v>0.84999999999999964</v>
      </c>
    </row>
    <row r="27" spans="2:30">
      <c r="H27">
        <f>ROW()-ROW(Table3[#Headers])</f>
        <v>25</v>
      </c>
      <c r="I27" t="s">
        <v>761</v>
      </c>
      <c r="J27" t="str">
        <f>TT!$O79</f>
        <v>Middle Phalanges (P)</v>
      </c>
      <c r="K27">
        <v>30.984680165708667</v>
      </c>
      <c r="L27">
        <v>32.084270998700646</v>
      </c>
      <c r="M27">
        <v>0.84999999999999964</v>
      </c>
      <c r="N27">
        <v>0.8199999999999994</v>
      </c>
      <c r="O27">
        <v>30.984680165708667</v>
      </c>
      <c r="P27">
        <v>41.980588495628481</v>
      </c>
      <c r="Q27">
        <v>0.84999999999999964</v>
      </c>
      <c r="R27">
        <v>0.54999999999999982</v>
      </c>
      <c r="S27">
        <v>30.984680165708667</v>
      </c>
      <c r="T27">
        <v>32.084270998700646</v>
      </c>
      <c r="U27">
        <v>0.84999999999999964</v>
      </c>
      <c r="V27">
        <v>0.8199999999999994</v>
      </c>
      <c r="W27">
        <f>INDEX(Table3[#This Row],,Gesture_P1*4)</f>
        <v>30.984680165708667</v>
      </c>
      <c r="X27">
        <f>INDEX(Table3[#This Row],,Gesture_P1*4+1)</f>
        <v>41.980588495628481</v>
      </c>
      <c r="Y27">
        <f>INDEX(Table3[#This Row],,Gesture_P1*4+2)</f>
        <v>0.84999999999999964</v>
      </c>
      <c r="Z27">
        <f>INDEX(Table3[#This Row],,Gesture_P1*4+3)</f>
        <v>0.54999999999999982</v>
      </c>
      <c r="AA27">
        <f>75-INDEX(Table3[#This Row],,Gesture_P2*4)</f>
        <v>44.015319834291333</v>
      </c>
      <c r="AB27">
        <f>75-INDEX(Table3[#This Row],,Gesture_P2*4+1)</f>
        <v>42.915729001299354</v>
      </c>
      <c r="AC27">
        <f>INDEX(Table3[#This Row],,Gesture_P2*4+2)</f>
        <v>0.84999999999999964</v>
      </c>
      <c r="AD27">
        <f>INDEX(Table3[#This Row],,Gesture_P2*4+3)</f>
        <v>0.8199999999999994</v>
      </c>
    </row>
    <row r="28" spans="2:30">
      <c r="H28">
        <f>ROW()-ROW(Table3[#Headers])</f>
        <v>26</v>
      </c>
      <c r="I28" t="s">
        <v>762</v>
      </c>
      <c r="J28" t="str">
        <f>TT!$O80</f>
        <v>Proximal Phalanges (P)</v>
      </c>
      <c r="K28">
        <v>32.084270998700646</v>
      </c>
      <c r="L28">
        <v>28.060768177979988</v>
      </c>
      <c r="M28">
        <v>0.8199999999999994</v>
      </c>
      <c r="N28">
        <v>0.92977272727272631</v>
      </c>
      <c r="O28">
        <v>41.980588495628481</v>
      </c>
      <c r="P28">
        <v>48.977984705577455</v>
      </c>
      <c r="Q28">
        <v>0.54999999999999982</v>
      </c>
      <c r="R28">
        <v>0.35909090909090935</v>
      </c>
      <c r="S28">
        <v>32.084270998700646</v>
      </c>
      <c r="T28">
        <v>28.060768177979988</v>
      </c>
      <c r="U28">
        <v>0.8199999999999994</v>
      </c>
      <c r="V28">
        <v>0.92977272727272631</v>
      </c>
      <c r="W28">
        <f>INDEX(Table3[#This Row],,Gesture_P1*4)</f>
        <v>41.980588495628481</v>
      </c>
      <c r="X28">
        <f>INDEX(Table3[#This Row],,Gesture_P1*4+1)</f>
        <v>48.977984705577455</v>
      </c>
      <c r="Y28">
        <f>INDEX(Table3[#This Row],,Gesture_P1*4+2)</f>
        <v>0.54999999999999982</v>
      </c>
      <c r="Z28">
        <f>INDEX(Table3[#This Row],,Gesture_P1*4+3)</f>
        <v>0.35909090909090935</v>
      </c>
      <c r="AA28">
        <f>75-INDEX(Table3[#This Row],,Gesture_P2*4)</f>
        <v>42.915729001299354</v>
      </c>
      <c r="AB28">
        <f>75-INDEX(Table3[#This Row],,Gesture_P2*4+1)</f>
        <v>46.939231822020012</v>
      </c>
      <c r="AC28">
        <f>INDEX(Table3[#This Row],,Gesture_P2*4+2)</f>
        <v>0.8199999999999994</v>
      </c>
      <c r="AD28">
        <f>INDEX(Table3[#This Row],,Gesture_P2*4+3)</f>
        <v>0.92977272727272631</v>
      </c>
    </row>
    <row r="29" spans="2:30">
      <c r="H29">
        <f>ROW()-ROW(Table3[#Headers])</f>
        <v>27</v>
      </c>
      <c r="I29" t="s">
        <v>763</v>
      </c>
      <c r="J29" t="str">
        <f>TT!$O81</f>
        <v>Metacarpals (P)</v>
      </c>
      <c r="K29">
        <v>28.060768177979988</v>
      </c>
      <c r="L29">
        <v>24.062256058009147</v>
      </c>
      <c r="M29">
        <v>0.92977272727272631</v>
      </c>
      <c r="N29">
        <v>1.0388636363636352</v>
      </c>
      <c r="O29">
        <v>48.977984705577455</v>
      </c>
      <c r="P29">
        <v>52.976496825548296</v>
      </c>
      <c r="Q29">
        <v>0.35909090909090935</v>
      </c>
      <c r="R29">
        <v>0.25</v>
      </c>
      <c r="S29">
        <v>28.060768177979988</v>
      </c>
      <c r="T29">
        <v>24.062256058009147</v>
      </c>
      <c r="U29">
        <v>0.92977272727272631</v>
      </c>
      <c r="V29">
        <v>1.0388636363636352</v>
      </c>
      <c r="W29">
        <f>INDEX(Table3[#This Row],,Gesture_P1*4)</f>
        <v>48.977984705577455</v>
      </c>
      <c r="X29">
        <f>INDEX(Table3[#This Row],,Gesture_P1*4+1)</f>
        <v>52.976496825548296</v>
      </c>
      <c r="Y29">
        <f>INDEX(Table3[#This Row],,Gesture_P1*4+2)</f>
        <v>0.35909090909090935</v>
      </c>
      <c r="Z29">
        <f>INDEX(Table3[#This Row],,Gesture_P1*4+3)</f>
        <v>0.25</v>
      </c>
      <c r="AA29">
        <f>75-INDEX(Table3[#This Row],,Gesture_P2*4)</f>
        <v>46.939231822020012</v>
      </c>
      <c r="AB29">
        <f>75-INDEX(Table3[#This Row],,Gesture_P2*4+1)</f>
        <v>50.937743941990853</v>
      </c>
      <c r="AC29">
        <f>INDEX(Table3[#This Row],,Gesture_P2*4+2)</f>
        <v>0.92977272727272631</v>
      </c>
      <c r="AD29">
        <f>INDEX(Table3[#This Row],,Gesture_P2*4+3)</f>
        <v>1.0388636363636352</v>
      </c>
    </row>
  </sheetData>
  <phoneticPr fontId="17" type="noConversion"/>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D2F02-DFA2-4A81-B91D-0FED3F310905}">
  <sheetPr codeName="Sheet2"/>
  <dimension ref="A1:X23"/>
  <sheetViews>
    <sheetView workbookViewId="0">
      <selection activeCell="H12" sqref="G12:H13"/>
    </sheetView>
  </sheetViews>
  <sheetFormatPr defaultRowHeight="15.95" customHeight="1"/>
  <cols>
    <col min="1" max="1" width="15.625" style="12" customWidth="1"/>
    <col min="2" max="2" width="10" style="7" customWidth="1"/>
    <col min="3" max="3" width="10.75" style="7" customWidth="1"/>
    <col min="4" max="4" width="9.625" style="7" customWidth="1"/>
    <col min="5" max="5" width="9.75" style="7" customWidth="1"/>
    <col min="6" max="16384" width="9" style="7"/>
  </cols>
  <sheetData>
    <row r="1" spans="1:24" ht="39.950000000000003" customHeight="1">
      <c r="A1" s="102" t="str">
        <f>TT!$O$3</f>
        <v>Data In (From Source)</v>
      </c>
      <c r="B1" s="102"/>
      <c r="C1" s="102"/>
      <c r="D1" s="102"/>
      <c r="E1" s="102"/>
      <c r="F1" s="102"/>
      <c r="G1" s="102"/>
      <c r="H1" s="102"/>
      <c r="I1" s="102"/>
      <c r="J1" s="102"/>
      <c r="K1" s="8" t="s">
        <v>833</v>
      </c>
    </row>
    <row r="2" spans="1:24" ht="32.1" customHeight="1">
      <c r="A2" s="103" t="str">
        <f>TT!$O$4</f>
        <v>Data coming from the current data source will appear below as it is received.</v>
      </c>
      <c r="B2" s="103"/>
      <c r="C2" s="103"/>
      <c r="D2" s="103"/>
      <c r="E2" s="103"/>
      <c r="F2" s="103"/>
      <c r="G2" s="103"/>
      <c r="H2" s="103"/>
      <c r="I2" s="103"/>
      <c r="J2" s="103"/>
    </row>
    <row r="3" spans="1:24" ht="33.6" customHeight="1">
      <c r="A3" s="104" t="str">
        <f>TT!$O$5</f>
        <v>Current Data</v>
      </c>
      <c r="B3" s="104"/>
      <c r="C3" s="104"/>
      <c r="D3" s="104"/>
      <c r="E3" s="104"/>
      <c r="F3" s="104"/>
      <c r="G3" s="104"/>
      <c r="H3" s="104"/>
      <c r="I3" s="104"/>
      <c r="J3" s="104"/>
      <c r="K3" s="104"/>
      <c r="L3" s="104"/>
      <c r="M3" s="104"/>
      <c r="N3" s="104"/>
      <c r="O3" s="104"/>
      <c r="P3" s="104"/>
      <c r="Q3" s="104"/>
      <c r="R3" s="104"/>
      <c r="S3" s="104"/>
      <c r="T3" s="104"/>
      <c r="U3" s="104"/>
      <c r="V3" s="104"/>
      <c r="W3" s="104"/>
    </row>
    <row r="4" spans="1:24" s="51" customFormat="1" ht="33">
      <c r="A4" s="49" t="str">
        <f>TT!$O$6</f>
        <v>Time</v>
      </c>
      <c r="B4" s="9" t="str">
        <f>TT!$O$84</f>
        <v>Workbook Mode</v>
      </c>
      <c r="C4" s="9" t="str">
        <f>TT!$O$85</f>
        <v>Match Start Trigger</v>
      </c>
      <c r="D4" s="9" t="str">
        <f>TT!$O$86</f>
        <v>Match Complete</v>
      </c>
      <c r="E4" s="9" t="str">
        <f>TT!$O$87</f>
        <v>Countdown Timer</v>
      </c>
      <c r="F4" s="9" t="str">
        <f>TT!$O$26</f>
        <v>Thumb</v>
      </c>
      <c r="G4" s="9" t="str">
        <f>TT!$O$27</f>
        <v>Index</v>
      </c>
      <c r="H4" s="9" t="str">
        <f>TT!$O$28</f>
        <v>Middle</v>
      </c>
      <c r="I4" s="9" t="str">
        <f>TT!$O$29</f>
        <v>Ring</v>
      </c>
      <c r="J4" s="9" t="str">
        <f>TT!$O$30</f>
        <v>Pinky</v>
      </c>
      <c r="K4" s="9" t="str">
        <f>TT!$O$88</f>
        <v>Round Number</v>
      </c>
      <c r="L4" s="9" t="str">
        <f>TT!$O$89</f>
        <v>Player 1 Gesture</v>
      </c>
      <c r="M4" s="9" t="str">
        <f>TT!$O$90</f>
        <v>Player 2 Gesture</v>
      </c>
      <c r="N4" s="9" t="str">
        <f>TT!$O$91</f>
        <v>Player 1 - Round 1</v>
      </c>
      <c r="O4" s="9" t="str">
        <f>TT!$O$92</f>
        <v>Player 1 - Round 2</v>
      </c>
      <c r="P4" s="9" t="str">
        <f>TT!$O$93</f>
        <v>Player 1 - Round 3</v>
      </c>
      <c r="Q4" s="9" t="str">
        <f>TT!$O$94</f>
        <v>Player 1 - Round 4</v>
      </c>
      <c r="R4" s="9" t="str">
        <f>TT!$O$95</f>
        <v>Player 1 - Round 5</v>
      </c>
      <c r="S4" s="9" t="str">
        <f>TT!$O$96</f>
        <v>Player 2 - Round 1</v>
      </c>
      <c r="T4" s="9" t="str">
        <f>TT!$O$97</f>
        <v>Player 2 - Round 2</v>
      </c>
      <c r="U4" s="9" t="str">
        <f>TT!$O$98</f>
        <v>Player 2 - Round 3</v>
      </c>
      <c r="V4" s="9" t="str">
        <f>TT!$O$99</f>
        <v>Player 2 - Round 4</v>
      </c>
      <c r="W4" s="10" t="str">
        <f>TT!$O$100</f>
        <v>Player 2 - Round 5</v>
      </c>
    </row>
    <row r="5" spans="1:24" s="53" customFormat="1" ht="27" customHeight="1" thickBot="1">
      <c r="A5" s="57"/>
      <c r="B5" s="11"/>
      <c r="C5" s="11"/>
      <c r="D5" s="11"/>
      <c r="E5" s="11"/>
      <c r="F5" s="11"/>
      <c r="G5" s="11"/>
      <c r="H5" s="11"/>
      <c r="I5" s="11"/>
      <c r="J5" s="11"/>
      <c r="K5" s="11"/>
      <c r="L5" s="11"/>
      <c r="M5" s="11"/>
      <c r="N5" s="11"/>
      <c r="O5" s="11"/>
      <c r="P5" s="11"/>
      <c r="Q5" s="11"/>
      <c r="R5" s="11"/>
      <c r="S5" s="11"/>
      <c r="T5" s="11"/>
      <c r="U5" s="11"/>
      <c r="V5" s="11"/>
      <c r="W5" s="11"/>
      <c r="X5" s="52"/>
    </row>
    <row r="6" spans="1:24" ht="33.6" customHeight="1" thickTop="1">
      <c r="A6" s="105" t="str">
        <f>TT!$O$7</f>
        <v>Historical Data</v>
      </c>
      <c r="B6" s="105"/>
      <c r="C6" s="105"/>
      <c r="D6" s="105"/>
      <c r="E6" s="105"/>
      <c r="F6" s="105"/>
      <c r="G6" s="105"/>
      <c r="H6" s="105"/>
      <c r="I6" s="105"/>
      <c r="J6" s="105"/>
      <c r="K6" s="105"/>
      <c r="L6" s="105"/>
      <c r="M6" s="105"/>
      <c r="N6" s="105"/>
      <c r="O6" s="105"/>
      <c r="P6" s="105"/>
      <c r="Q6" s="105"/>
      <c r="R6" s="105"/>
      <c r="S6" s="105"/>
      <c r="T6" s="105"/>
      <c r="U6" s="105"/>
      <c r="V6" s="105"/>
      <c r="W6" s="105"/>
      <c r="X6" s="54"/>
    </row>
    <row r="7" spans="1:24" s="51" customFormat="1" ht="33">
      <c r="A7" s="58" t="str">
        <f>IF(A4="","",A4)</f>
        <v>Time</v>
      </c>
      <c r="B7" s="59" t="str">
        <f t="shared" ref="B7:W7" si="0">IF(B4="","",B4)</f>
        <v>Workbook Mode</v>
      </c>
      <c r="C7" s="59" t="str">
        <f t="shared" si="0"/>
        <v>Match Start Trigger</v>
      </c>
      <c r="D7" s="59" t="str">
        <f t="shared" si="0"/>
        <v>Match Complete</v>
      </c>
      <c r="E7" s="59" t="str">
        <f t="shared" si="0"/>
        <v>Countdown Timer</v>
      </c>
      <c r="F7" s="59" t="str">
        <f t="shared" si="0"/>
        <v>Thumb</v>
      </c>
      <c r="G7" s="59" t="str">
        <f t="shared" si="0"/>
        <v>Index</v>
      </c>
      <c r="H7" s="59" t="str">
        <f t="shared" si="0"/>
        <v>Middle</v>
      </c>
      <c r="I7" s="59" t="str">
        <f t="shared" si="0"/>
        <v>Ring</v>
      </c>
      <c r="J7" s="59" t="str">
        <f t="shared" si="0"/>
        <v>Pinky</v>
      </c>
      <c r="K7" s="59" t="str">
        <f t="shared" si="0"/>
        <v>Round Number</v>
      </c>
      <c r="L7" s="59" t="str">
        <f t="shared" si="0"/>
        <v>Player 1 Gesture</v>
      </c>
      <c r="M7" s="59" t="str">
        <f t="shared" si="0"/>
        <v>Player 2 Gesture</v>
      </c>
      <c r="N7" s="59" t="str">
        <f t="shared" si="0"/>
        <v>Player 1 - Round 1</v>
      </c>
      <c r="O7" s="59" t="str">
        <f t="shared" si="0"/>
        <v>Player 1 - Round 2</v>
      </c>
      <c r="P7" s="59" t="str">
        <f t="shared" si="0"/>
        <v>Player 1 - Round 3</v>
      </c>
      <c r="Q7" s="59" t="str">
        <f t="shared" si="0"/>
        <v>Player 1 - Round 4</v>
      </c>
      <c r="R7" s="59" t="str">
        <f t="shared" si="0"/>
        <v>Player 1 - Round 5</v>
      </c>
      <c r="S7" s="59" t="str">
        <f t="shared" si="0"/>
        <v>Player 2 - Round 1</v>
      </c>
      <c r="T7" s="59" t="str">
        <f t="shared" si="0"/>
        <v>Player 2 - Round 2</v>
      </c>
      <c r="U7" s="59" t="str">
        <f t="shared" si="0"/>
        <v>Player 2 - Round 3</v>
      </c>
      <c r="V7" s="59" t="str">
        <f t="shared" si="0"/>
        <v>Player 2 - Round 4</v>
      </c>
      <c r="W7" s="59" t="str">
        <f t="shared" si="0"/>
        <v>Player 2 - Round 5</v>
      </c>
    </row>
    <row r="8" spans="1:24" ht="19.5" customHeight="1" thickBot="1">
      <c r="A8" s="60"/>
      <c r="B8" s="46"/>
      <c r="C8" s="46"/>
      <c r="D8" s="46"/>
      <c r="E8" s="46"/>
      <c r="F8" s="46"/>
      <c r="G8" s="46"/>
      <c r="H8" s="46"/>
      <c r="I8" s="46"/>
      <c r="J8" s="46"/>
      <c r="K8" s="46"/>
      <c r="L8" s="46"/>
      <c r="M8" s="46"/>
      <c r="N8" s="46"/>
      <c r="O8" s="46"/>
      <c r="P8" s="46"/>
      <c r="Q8" s="46"/>
      <c r="R8" s="46"/>
      <c r="S8" s="46"/>
      <c r="T8" s="46"/>
      <c r="U8" s="46"/>
      <c r="V8" s="46"/>
      <c r="W8" s="47"/>
      <c r="X8" s="55"/>
    </row>
    <row r="9" spans="1:24" ht="19.5" customHeight="1" thickTop="1"/>
    <row r="10" spans="1:24" ht="19.5" customHeight="1"/>
    <row r="11" spans="1:24" ht="19.5" customHeight="1"/>
    <row r="12" spans="1:24" ht="19.5" customHeight="1"/>
    <row r="13" spans="1:24" ht="19.5" customHeight="1"/>
    <row r="14" spans="1:24" ht="19.5" customHeight="1"/>
    <row r="15" spans="1:24" ht="19.5" customHeight="1"/>
    <row r="16" spans="1:24" ht="19.5" customHeight="1"/>
    <row r="17" ht="19.5" customHeight="1"/>
    <row r="18" ht="19.5" customHeight="1"/>
    <row r="19" ht="19.5" customHeight="1"/>
    <row r="20" ht="19.5" customHeight="1"/>
    <row r="21" ht="19.5" customHeight="1"/>
    <row r="22" ht="19.5" customHeight="1"/>
    <row r="23" ht="19.5" customHeight="1"/>
  </sheetData>
  <mergeCells count="4">
    <mergeCell ref="A1:J1"/>
    <mergeCell ref="A2:J2"/>
    <mergeCell ref="A3:W3"/>
    <mergeCell ref="A6:W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C4C35-5862-420A-A0F0-ED0876B7B1BB}">
  <sheetPr codeName="Sheet3"/>
  <dimension ref="A1:V6"/>
  <sheetViews>
    <sheetView workbookViewId="0">
      <selection activeCell="E5" sqref="E5"/>
    </sheetView>
  </sheetViews>
  <sheetFormatPr defaultColWidth="11.5" defaultRowHeight="16.5"/>
  <cols>
    <col min="1" max="16384" width="11.5" style="7"/>
  </cols>
  <sheetData>
    <row r="1" spans="1:22" ht="39.950000000000003" customHeight="1">
      <c r="A1" s="102" t="str">
        <f>TT!$O$8</f>
        <v>Data Out (To Device)</v>
      </c>
      <c r="B1" s="102"/>
      <c r="C1" s="102"/>
      <c r="D1" s="102"/>
      <c r="E1" s="102"/>
      <c r="F1" s="102"/>
      <c r="G1" s="102"/>
      <c r="H1" s="102"/>
      <c r="I1" s="102"/>
      <c r="J1" s="102"/>
      <c r="K1" s="8" t="s">
        <v>833</v>
      </c>
    </row>
    <row r="2" spans="1:22" ht="32.1" customHeight="1">
      <c r="A2" s="103" t="str">
        <f>TT!$O$9</f>
        <v>Data entered into the channels below will be sent to the currently connected device as a comma-delimited string.</v>
      </c>
      <c r="B2" s="103"/>
      <c r="C2" s="103"/>
      <c r="D2" s="103"/>
      <c r="E2" s="103"/>
      <c r="F2" s="103"/>
      <c r="G2" s="103"/>
      <c r="H2" s="103"/>
      <c r="I2" s="103"/>
      <c r="J2" s="103"/>
    </row>
    <row r="3" spans="1:22" ht="33.6" customHeight="1">
      <c r="A3" s="106"/>
      <c r="B3" s="106"/>
      <c r="C3" s="106"/>
      <c r="D3" s="106"/>
      <c r="E3" s="106"/>
      <c r="F3" s="106"/>
      <c r="G3" s="106"/>
      <c r="H3" s="106"/>
      <c r="I3" s="106"/>
      <c r="J3" s="106"/>
    </row>
    <row r="4" spans="1:22" s="51" customFormat="1" ht="49.5">
      <c r="A4" s="13" t="s">
        <v>834</v>
      </c>
      <c r="B4" s="14" t="s">
        <v>835</v>
      </c>
      <c r="C4" s="14" t="str">
        <f>TT!$O$84</f>
        <v>Workbook Mode</v>
      </c>
      <c r="D4" s="14" t="str">
        <f>TT!$O$85</f>
        <v>Match Start Trigger</v>
      </c>
      <c r="E4" s="14" t="str">
        <f>TT!$O$102</f>
        <v>Round Intermission (seconds)</v>
      </c>
      <c r="F4" s="14" t="str">
        <f>TT!$O$103</f>
        <v>Match Trigger</v>
      </c>
      <c r="G4" s="14" t="str">
        <f>TT!$O$104</f>
        <v>Round Winner</v>
      </c>
      <c r="H4" s="14" t="s">
        <v>836</v>
      </c>
      <c r="I4" s="14" t="str">
        <f>TT!$O$105</f>
        <v>Excel RPS Gesture</v>
      </c>
      <c r="J4" s="14" t="s">
        <v>837</v>
      </c>
      <c r="K4" s="14" t="s">
        <v>838</v>
      </c>
      <c r="L4" s="14" t="s">
        <v>839</v>
      </c>
      <c r="M4" s="14" t="s">
        <v>840</v>
      </c>
      <c r="N4" s="14" t="s">
        <v>841</v>
      </c>
      <c r="O4" s="14" t="s">
        <v>842</v>
      </c>
      <c r="P4" s="14" t="s">
        <v>843</v>
      </c>
      <c r="Q4" s="14" t="s">
        <v>844</v>
      </c>
      <c r="R4" s="14" t="s">
        <v>845</v>
      </c>
      <c r="S4" s="14" t="s">
        <v>846</v>
      </c>
      <c r="T4" s="14" t="s">
        <v>847</v>
      </c>
      <c r="U4" s="14" t="s">
        <v>848</v>
      </c>
      <c r="V4" s="14" t="s">
        <v>849</v>
      </c>
    </row>
    <row r="5" spans="1:22" s="56" customFormat="1" ht="27" customHeight="1" thickBot="1">
      <c r="A5" s="15"/>
      <c r="B5" s="15"/>
      <c r="C5" s="15">
        <v>1</v>
      </c>
      <c r="D5" s="15"/>
      <c r="E5" s="15"/>
      <c r="F5" s="15">
        <v>0</v>
      </c>
      <c r="G5" s="15"/>
      <c r="H5" s="15"/>
      <c r="I5" s="15">
        <f ca="1">RANDBETWEEN(1,3)</f>
        <v>3</v>
      </c>
      <c r="J5" s="15"/>
      <c r="K5" s="15"/>
      <c r="L5" s="15"/>
      <c r="M5" s="15"/>
      <c r="N5" s="15"/>
      <c r="O5" s="15"/>
      <c r="P5" s="15"/>
      <c r="Q5" s="15"/>
      <c r="R5" s="15"/>
      <c r="S5" s="15"/>
      <c r="T5" s="15"/>
      <c r="U5" s="15"/>
      <c r="V5" s="15"/>
    </row>
    <row r="6" spans="1:22" ht="17.25" thickTop="1"/>
  </sheetData>
  <mergeCells count="3">
    <mergeCell ref="A1:J1"/>
    <mergeCell ref="A2:J2"/>
    <mergeCell ref="A3:J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AF582-EE0E-4136-9167-D0B55128BC4E}">
  <sheetPr codeName="Sheet4"/>
  <dimension ref="A1:K12"/>
  <sheetViews>
    <sheetView workbookViewId="0">
      <selection activeCell="E6" sqref="E6"/>
    </sheetView>
  </sheetViews>
  <sheetFormatPr defaultRowHeight="16.5"/>
  <cols>
    <col min="1" max="1" width="30.625" style="1" customWidth="1"/>
    <col min="2" max="2" width="0.125" style="1" customWidth="1"/>
    <col min="3" max="3" width="30.625" style="1" customWidth="1"/>
    <col min="4" max="16384" width="9" style="1"/>
  </cols>
  <sheetData>
    <row r="1" spans="1:11" ht="39.950000000000003" customHeight="1">
      <c r="A1" s="107" t="str">
        <f>TT!$O$10</f>
        <v>Workbook Settings</v>
      </c>
      <c r="B1" s="107"/>
      <c r="C1" s="107"/>
      <c r="D1" s="107"/>
      <c r="E1" s="107"/>
      <c r="F1" s="107"/>
      <c r="H1" s="3" t="s">
        <v>833</v>
      </c>
      <c r="K1" s="2" t="s">
        <v>833</v>
      </c>
    </row>
    <row r="2" spans="1:11" ht="50.1" customHeight="1">
      <c r="A2" s="108" t="str">
        <f>TT!$O$11</f>
        <v>Settings below will affect how data is read into the current workbook from data sources. Clear a field's contents to revert to its default setting.</v>
      </c>
      <c r="B2" s="108"/>
      <c r="C2" s="108"/>
      <c r="D2" s="108"/>
      <c r="E2" s="108"/>
      <c r="F2" s="108"/>
    </row>
    <row r="3" spans="1:11" ht="4.5" customHeight="1"/>
    <row r="4" spans="1:11" ht="24" customHeight="1">
      <c r="A4" s="4" t="str">
        <f>TT!$O$12</f>
        <v>Data interval (ms):</v>
      </c>
      <c r="B4" s="5" t="s">
        <v>850</v>
      </c>
      <c r="C4" s="6">
        <v>500</v>
      </c>
    </row>
    <row r="5" spans="1:11" ht="4.5" customHeight="1"/>
    <row r="6" spans="1:11" ht="24" customHeight="1">
      <c r="A6" s="4" t="str">
        <f>TT!$O$13</f>
        <v>Data rows:</v>
      </c>
      <c r="B6" s="5" t="s">
        <v>851</v>
      </c>
      <c r="C6" s="6">
        <v>1</v>
      </c>
    </row>
    <row r="7" spans="1:11" ht="4.5" customHeight="1"/>
    <row r="8" spans="1:11" ht="24" customHeight="1">
      <c r="A8" s="4" t="str">
        <f>TT!$O$14</f>
        <v>Data channels:</v>
      </c>
      <c r="B8" s="5" t="s">
        <v>852</v>
      </c>
      <c r="C8" s="6">
        <v>22</v>
      </c>
    </row>
    <row r="9" spans="1:11" ht="4.5" customHeight="1"/>
    <row r="10" spans="1:11" ht="24" customHeight="1">
      <c r="A10" s="4" t="str">
        <f>TT!$O$15</f>
        <v>Data orientation:</v>
      </c>
      <c r="B10" s="5" t="s">
        <v>853</v>
      </c>
      <c r="C10" s="6"/>
    </row>
    <row r="12" spans="1:11" ht="42" customHeight="1">
      <c r="A12" s="109" t="str">
        <f>TT!$O$16</f>
        <v>WARNING: Changing settings may result in the loss of content and/or custom formatting in the Data In and Data Out worksheets. Always save before changing values.</v>
      </c>
      <c r="B12" s="109"/>
      <c r="C12" s="109"/>
      <c r="D12" s="109"/>
      <c r="E12" s="109"/>
      <c r="F12" s="109"/>
      <c r="G12" s="109"/>
    </row>
  </sheetData>
  <mergeCells count="3">
    <mergeCell ref="A1:F1"/>
    <mergeCell ref="A2:F2"/>
    <mergeCell ref="A12:G12"/>
  </mergeCells>
  <dataValidations count="4">
    <dataValidation allowBlank="1" showInputMessage="1" prompt="Minimum duration between data readings, in milliseconds. 10 to 1000" sqref="C4" xr:uid="{6EC34217-2F92-4CDF-A285-6E6357409063}"/>
    <dataValidation allowBlank="1" showInputMessage="1" prompt="Number of historical data rows to keep. 1 to 500" sqref="C6" xr:uid="{B7A19884-84CE-4072-84A5-8737208E67E8}"/>
    <dataValidation allowBlank="1" showInputMessage="1" prompt="Number of data columns to read/write. 1 to 100" sqref="C8" xr:uid="{F7A51E4D-AE2B-46D9-B9D8-5FBBB0524749}"/>
    <dataValidation type="list" errorStyle="information" allowBlank="1" showInputMessage="1" prompt="Sort historical data by newest first or last." sqref="C10" xr:uid="{A4F243C3-D630-4C00-AAB6-D08A10303CD7}">
      <formula1>"Newest first,Newest last"</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8E9A87F33DDDF47B4034F7640DF5146" ma:contentTypeVersion="46" ma:contentTypeDescription="Create a new document." ma:contentTypeScope="" ma:versionID="7bdc0c808ff8eaad8fdcdee3a4d51c84">
  <xsd:schema xmlns:xsd="http://www.w3.org/2001/XMLSchema" xmlns:xs="http://www.w3.org/2001/XMLSchema" xmlns:p="http://schemas.microsoft.com/office/2006/metadata/properties" xmlns:ns1="http://schemas.microsoft.com/sharepoint/v3" xmlns:ns2="8978a658-3d11-4a81-97af-d5b56c1fb361" xmlns:ns3="2e7b7dd0-ff9e-4fdf-9289-16a7cf533cc2" targetNamespace="http://schemas.microsoft.com/office/2006/metadata/properties" ma:root="true" ma:fieldsID="4741e605d6ec3bab21d9e628b08cb5c5" ns1:_="" ns2:_="" ns3:_="">
    <xsd:import namespace="http://schemas.microsoft.com/sharepoint/v3"/>
    <xsd:import namespace="8978a658-3d11-4a81-97af-d5b56c1fb361"/>
    <xsd:import namespace="2e7b7dd0-ff9e-4fdf-9289-16a7cf533cc2"/>
    <xsd:element name="properties">
      <xsd:complexType>
        <xsd:sequence>
          <xsd:element name="documentManagement">
            <xsd:complexType>
              <xsd:all>
                <xsd:element ref="ns2:Notes_x0020_" minOccurs="0"/>
                <xsd:element ref="ns2:Sythesized_x0020_into_x0020_writeup_x003f_" minOccurs="0"/>
                <xsd:element ref="ns2:MediaServiceKeyPoints" minOccurs="0"/>
                <xsd:element ref="ns2:Details" minOccurs="0"/>
                <xsd:element ref="ns2:Industry" minOccurs="0"/>
                <xsd:element ref="ns2:Segment" minOccurs="0"/>
                <xsd:element ref="ns2:QFE" minOccurs="0"/>
                <xsd:element ref="ns2:test0" minOccurs="0"/>
                <xsd:element ref="ns2:Test" minOccurs="0"/>
                <xsd:element ref="ns2:Test2" minOccurs="0"/>
                <xsd:element ref="ns2:Test3" minOccurs="0"/>
                <xsd:element ref="ns2:dptest" minOccurs="0"/>
                <xsd:element ref="ns2:MediaServiceFastMetadata" minOccurs="0"/>
                <xsd:element ref="ns2:MediaServiceAutoTags" minOccurs="0"/>
                <xsd:element ref="ns2:MediaServiceDateTaken" minOccurs="0"/>
                <xsd:element ref="ns2:MediaServiceOCR" minOccurs="0"/>
                <xsd:element ref="ns2:MediaServiceLocation" minOccurs="0"/>
                <xsd:element ref="ns1:_ip_UnifiedCompliancePolicyUIAction" minOccurs="0"/>
                <xsd:element ref="ns3:LastSharedByUser" minOccurs="0"/>
                <xsd:element ref="ns3:LastSharedByTime" minOccurs="0"/>
                <xsd:element ref="ns2:Test3_x003a_Column4" minOccurs="0"/>
                <xsd:element ref="ns2:Test3_x003a_Column6" minOccurs="0"/>
                <xsd:element ref="ns2:Test3_x003a_Compliance_x0020_Asset_x0020_Id" minOccurs="0"/>
                <xsd:element ref="ns2:MediaServiceEventHashCode" minOccurs="0"/>
                <xsd:element ref="ns2:MediaServiceGenerationTime" minOccurs="0"/>
                <xsd:element ref="ns2:MediaServiceAutoKeyPoints" minOccurs="0"/>
                <xsd:element ref="ns2:MediaLengthInSeconds" minOccurs="0"/>
                <xsd:element ref="ns3:SharedWithUsers" minOccurs="0"/>
                <xsd:element ref="ns3:SharedWithDetails" minOccurs="0"/>
                <xsd:element ref="ns2:lcf76f155ced4ddcb4097134ff3c332f" minOccurs="0"/>
                <xsd:element ref="ns1:_ip_UnifiedCompliancePolicyProperties" minOccurs="0"/>
                <xsd:element ref="ns2:MediaServiceMetadata" minOccurs="0"/>
                <xsd:element ref="ns2:Choice" minOccurs="0"/>
                <xsd:element ref="ns2:MediaServiceSearchProperties" minOccurs="0"/>
                <xsd:element ref="ns2:MediaServiceDocTags" minOccurs="0"/>
                <xsd:element ref="ns2:MediaServiceObjectDetectorVersions" minOccurs="0"/>
                <xsd:element ref="ns2:MediaServiceSystemTags" minOccurs="0"/>
                <xsd:element ref="ns2:Comme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UIAction" ma:index="20" nillable="true" ma:displayName="Unified Compliance Policy UI Action" ma:description="" ma:hidden="true" ma:internalName="_ip_UnifiedCompliancePolicyUIAction" ma:readOnly="false">
      <xsd:simpleType>
        <xsd:restriction base="dms:Text"/>
      </xsd:simpleType>
    </xsd:element>
    <xsd:element name="_ip_UnifiedCompliancePolicyProperties" ma:index="39" nillable="true" ma:displayName="Unified Compliance Policy Properties" ma:description="" ma:hidden="true" ma:internalName="_ip_UnifiedCompliancePolicyProperties"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978a658-3d11-4a81-97af-d5b56c1fb361" elementFormDefault="qualified">
    <xsd:import namespace="http://schemas.microsoft.com/office/2006/documentManagement/types"/>
    <xsd:import namespace="http://schemas.microsoft.com/office/infopath/2007/PartnerControls"/>
    <xsd:element name="Notes_x0020_" ma:index="2" nillable="true" ma:displayName="Notes " ma:format="Dropdown" ma:internalName="Notes_x0020_" ma:readOnly="false">
      <xsd:simpleType>
        <xsd:restriction base="dms:Note">
          <xsd:maxLength value="255"/>
        </xsd:restriction>
      </xsd:simpleType>
    </xsd:element>
    <xsd:element name="Sythesized_x0020_into_x0020_writeup_x003f_" ma:index="3" nillable="true" ma:displayName="Sythesized into writeup?" ma:default="1" ma:description="For John" ma:format="Dropdown" ma:internalName="Sythesized_x0020_into_x0020_writeup_x003f_" ma:readOnly="false">
      <xsd:simpleType>
        <xsd:restriction base="dms:Boolean"/>
      </xsd:simpleType>
    </xsd:element>
    <xsd:element name="MediaServiceKeyPoints" ma:index="4" nillable="true" ma:displayName="KeyPoints" ma:internalName="MediaServiceKeyPoints" ma:readOnly="false">
      <xsd:simpleType>
        <xsd:restriction base="dms:Note">
          <xsd:maxLength value="255"/>
        </xsd:restriction>
      </xsd:simpleType>
    </xsd:element>
    <xsd:element name="Details" ma:index="5" nillable="true" ma:displayName="Details" ma:format="Dropdown" ma:internalName="Details" ma:readOnly="false">
      <xsd:simpleType>
        <xsd:restriction base="dms:Note">
          <xsd:maxLength value="255"/>
        </xsd:restriction>
      </xsd:simpleType>
    </xsd:element>
    <xsd:element name="Industry" ma:index="6" nillable="true" ma:displayName="Industry" ma:internalName="Industry" ma:readOnly="false">
      <xsd:complexType>
        <xsd:complexContent>
          <xsd:extension base="dms:MultiChoiceFillIn">
            <xsd:sequence>
              <xsd:element name="Value" maxOccurs="unbounded" minOccurs="0" nillable="true">
                <xsd:simpleType>
                  <xsd:union memberTypes="dms:Text">
                    <xsd:simpleType>
                      <xsd:restriction base="dms:Choice">
                        <xsd:enumeration value="Accounting"/>
                        <xsd:enumeration value="Agriculture or Mining"/>
                        <xsd:enumeration value="Association or OtherNon- or Not-for-profit"/>
                        <xsd:enumeration value="Banking"/>
                        <xsd:enumeration value="Construction, Engineering, or Architecture"/>
                        <xsd:enumeration value="Consulting - IT Related"/>
                        <xsd:enumeration value="Consulting - Other"/>
                        <xsd:enumeration value="Digital Media"/>
                        <xsd:enumeration value="Education"/>
                        <xsd:enumeration value="Finance"/>
                        <xsd:enumeration value="Government"/>
                        <xsd:enumeration value="Healthcare (private sector) or Medical"/>
                        <xsd:enumeration value="Hospitality"/>
                        <xsd:enumeration value="Insurance"/>
                        <xsd:enumeration value="LegalServices"/>
                        <xsd:enumeration value="Manufacturing / Distribution"/>
                        <xsd:enumeration value="Market Research"/>
                        <xsd:enumeration value="Marketing, Advertising, PR"/>
                        <xsd:enumeration value="Other"/>
                        <xsd:enumeration value="Petroleum"/>
                        <xsd:enumeration value="Pharmaceuticals"/>
                        <xsd:enumeration value="Printing or Publishing"/>
                        <xsd:enumeration value="Real Estate"/>
                        <xsd:enumeration value="Research&amp; Development"/>
                        <xsd:enumeration value="Retail"/>
                        <xsd:enumeration value="Software Development"/>
                        <xsd:enumeration value="Technology"/>
                        <xsd:enumeration value="Telecommunications"/>
                        <xsd:enumeration value="Traditional Media"/>
                        <xsd:enumeration value="Transportation (Land, Sea, Air)"/>
                        <xsd:enumeration value="Travel &amp; Tourism"/>
                        <xsd:enumeration value="Utilities (Electric, Gas, etc.)"/>
                      </xsd:restriction>
                    </xsd:simpleType>
                  </xsd:union>
                </xsd:simpleType>
              </xsd:element>
            </xsd:sequence>
          </xsd:extension>
        </xsd:complexContent>
      </xsd:complexType>
    </xsd:element>
    <xsd:element name="Segment" ma:index="7" nillable="true" ma:displayName="Segment" ma:internalName="Segment" ma:readOnly="false">
      <xsd:complexType>
        <xsd:complexContent>
          <xsd:extension base="dms:MultiChoice">
            <xsd:sequence>
              <xsd:element name="Value" maxOccurs="unbounded" minOccurs="0" nillable="true">
                <xsd:simpleType>
                  <xsd:restriction base="dms:Choice">
                    <xsd:enumeration value="Full Stack Analyst"/>
                    <xsd:enumeration value="Unsettle Analyst"/>
                    <xsd:enumeration value="Steadfast Excel-er"/>
                    <xsd:enumeration value="&quot;Everyday&quot; Excel User"/>
                    <xsd:enumeration value="Information Gatherer"/>
                  </xsd:restriction>
                </xsd:simpleType>
              </xsd:element>
            </xsd:sequence>
          </xsd:extension>
        </xsd:complexContent>
      </xsd:complexType>
    </xsd:element>
    <xsd:element name="QFE" ma:index="8" nillable="true" ma:displayName="QFE" ma:default="1" ma:format="Dropdown" ma:internalName="QFE" ma:readOnly="false">
      <xsd:simpleType>
        <xsd:restriction base="dms:Boolean"/>
      </xsd:simpleType>
    </xsd:element>
    <xsd:element name="test0" ma:index="10" nillable="true" ma:displayName="test" ma:default="1" ma:format="Dropdown" ma:hidden="true" ma:internalName="test0" ma:readOnly="false">
      <xsd:simpleType>
        <xsd:restriction base="dms:Boolean"/>
      </xsd:simpleType>
    </xsd:element>
    <xsd:element name="Test" ma:index="11" nillable="true" ma:displayName="Test" ma:hidden="true" ma:list="UserInfo" ma:SharePointGroup="0" ma:internalName="Test"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2" ma:index="12" nillable="true" ma:displayName="Test2" ma:default="1" ma:hidden="true" ma:internalName="Test2" ma:readOnly="false">
      <xsd:simpleType>
        <xsd:restriction base="dms:Boolean"/>
      </xsd:simpleType>
    </xsd:element>
    <xsd:element name="Test3" ma:index="13" nillable="true" ma:displayName="Test3" ma:hidden="true" ma:list="{56fe87cb-74e0-4ce0-8f5a-8a063749ebbe}" ma:internalName="Test3" ma:readOnly="false" ma:showField="Title">
      <xsd:simpleType>
        <xsd:restriction base="dms:Lookup"/>
      </xsd:simpleType>
    </xsd:element>
    <xsd:element name="dptest" ma:index="14" nillable="true" ma:displayName="dptest" ma:description="Doc Prop Test" ma:hidden="true" ma:internalName="dptest" ma:readOnly="false">
      <xsd:simpleType>
        <xsd:restriction base="dms:Text">
          <xsd:maxLength value="255"/>
        </xsd:restriction>
      </xsd:simpleType>
    </xsd:element>
    <xsd:element name="MediaServiceFastMetadata" ma:index="15" nillable="true" ma:displayName="MediaServiceFastMetadata" ma:description="" ma:hidden="true" ma:internalName="MediaServiceFastMetadata" ma:readOnly="true">
      <xsd:simpleType>
        <xsd:restriction base="dms:Note"/>
      </xsd:simpleType>
    </xsd:element>
    <xsd:element name="MediaServiceAutoTags" ma:index="16" nillable="true" ma:displayName="MediaServiceAutoTags" ma:description="" ma:hidden="true" ma:internalName="MediaServiceAutoTags" ma:readOnly="true">
      <xsd:simpleType>
        <xsd:restriction base="dms:Text"/>
      </xsd:simpleType>
    </xsd:element>
    <xsd:element name="MediaServiceDateTaken" ma:index="17" nillable="true" ma:displayName="MediaServiceDateTaken" ma:description="" ma:hidden="true" ma:internalName="MediaServiceDateTaken" ma:readOnly="true">
      <xsd:simpleType>
        <xsd:restriction base="dms:Text"/>
      </xsd:simpleType>
    </xsd:element>
    <xsd:element name="MediaServiceOCR" ma:index="18" nillable="true" ma:displayName="MediaServiceOCR" ma:description="" ma:hidden="true" ma:internalName="MediaServiceOCR" ma:readOnly="true">
      <xsd:simpleType>
        <xsd:restriction base="dms:Note"/>
      </xsd:simpleType>
    </xsd:element>
    <xsd:element name="MediaServiceLocation" ma:index="19" nillable="true" ma:displayName="MediaServiceLocation" ma:hidden="true" ma:internalName="MediaServiceLocation" ma:readOnly="true">
      <xsd:simpleType>
        <xsd:restriction base="dms:Text"/>
      </xsd:simpleType>
    </xsd:element>
    <xsd:element name="Test3_x003a_Column4" ma:index="23" nillable="true" ma:displayName="Test3:Column4" ma:hidden="true" ma:list="{56fe87cb-74e0-4ce0-8f5a-8a063749ebbe}" ma:internalName="Test3_x003a_Column4" ma:readOnly="true" ma:showField="Column4" ma:web="2e7b7dd0-ff9e-4fdf-9289-16a7cf533cc2">
      <xsd:simpleType>
        <xsd:restriction base="dms:Lookup"/>
      </xsd:simpleType>
    </xsd:element>
    <xsd:element name="Test3_x003a_Column6" ma:index="24" nillable="true" ma:displayName="Test3:Column6" ma:hidden="true" ma:list="{56fe87cb-74e0-4ce0-8f5a-8a063749ebbe}" ma:internalName="Test3_x003a_Column6" ma:readOnly="true" ma:showField="Column6" ma:web="2e7b7dd0-ff9e-4fdf-9289-16a7cf533cc2">
      <xsd:simpleType>
        <xsd:restriction base="dms:Lookup"/>
      </xsd:simpleType>
    </xsd:element>
    <xsd:element name="Test3_x003a_Compliance_x0020_Asset_x0020_Id" ma:index="25" nillable="true" ma:displayName="Test3:Compliance Asset Id" ma:hidden="true" ma:list="{56fe87cb-74e0-4ce0-8f5a-8a063749ebbe}" ma:internalName="Test3_x003a_Compliance_x0020_Asset_x0020_Id" ma:readOnly="true" ma:showField="ComplianceAssetId" ma:web="2e7b7dd0-ff9e-4fdf-9289-16a7cf533cc2">
      <xsd:simpleType>
        <xsd:restriction base="dms:Lookup"/>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LengthInSeconds" ma:index="35" nillable="true" ma:displayName="Length (seconds)" ma:hidden="true" ma:internalName="MediaLengthInSeconds" ma:readOnly="true">
      <xsd:simpleType>
        <xsd:restriction base="dms:Unknown"/>
      </xsd:simpleType>
    </xsd:element>
    <xsd:element name="lcf76f155ced4ddcb4097134ff3c332f" ma:index="38"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Metadata" ma:index="40" nillable="true" ma:displayName="MediaServiceMetadata" ma:description="" ma:hidden="true" ma:internalName="MediaServiceMetadata" ma:readOnly="true">
      <xsd:simpleType>
        <xsd:restriction base="dms:Note"/>
      </xsd:simpleType>
    </xsd:element>
    <xsd:element name="Choice" ma:index="41" nillable="true" ma:displayName="Choice" ma:default="0" ma:format="Dropdown" ma:internalName="Choice">
      <xsd:simpleType>
        <xsd:restriction base="dms:Boolean"/>
      </xsd:simpleType>
    </xsd:element>
    <xsd:element name="MediaServiceSearchProperties" ma:index="42" nillable="true" ma:displayName="MediaServiceSearchProperties" ma:hidden="true" ma:internalName="MediaServiceSearchProperties" ma:readOnly="true">
      <xsd:simpleType>
        <xsd:restriction base="dms:Note"/>
      </xsd:simpleType>
    </xsd:element>
    <xsd:element name="MediaServiceDocTags" ma:index="43" nillable="true" ma:displayName="MediaServiceDocTags" ma:hidden="true" ma:internalName="MediaServiceDocTags" ma:readOnly="true">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Comment" ma:index="46" nillable="true" ma:displayName="Comment" ma:format="Dropdown" ma:internalName="Commen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e7b7dd0-ff9e-4fdf-9289-16a7cf533cc2" elementFormDefault="qualified">
    <xsd:import namespace="http://schemas.microsoft.com/office/2006/documentManagement/types"/>
    <xsd:import namespace="http://schemas.microsoft.com/office/infopath/2007/PartnerControls"/>
    <xsd:element name="LastSharedByUser" ma:index="21" nillable="true" ma:displayName="Last Shared By User" ma:description="" ma:hidden="true" ma:internalName="LastSharedByUser" ma:readOnly="true">
      <xsd:simpleType>
        <xsd:restriction base="dms:Note"/>
      </xsd:simpleType>
    </xsd:element>
    <xsd:element name="LastSharedByTime" ma:index="22" nillable="true" ma:displayName="Last Shared By Time" ma:description="" ma:hidden="true" ma:internalName="LastSharedByTime" ma:readOnly="true">
      <xsd:simpleType>
        <xsd:restriction base="dms:DateTime"/>
      </xsd:simpleType>
    </xsd:element>
    <xsd:element name="SharedWithUsers" ma:index="36"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7" nillable="true" ma:displayName="Shared With Details" ma:description=""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8978a658-3d11-4a81-97af-d5b56c1fb361" xsi:nil="true"/>
    <Test3 xmlns="8978a658-3d11-4a81-97af-d5b56c1fb361" xsi:nil="true"/>
    <Notes_x0020_ xmlns="8978a658-3d11-4a81-97af-d5b56c1fb361" xsi:nil="true"/>
    <Test2 xmlns="8978a658-3d11-4a81-97af-d5b56c1fb361">true</Test2>
    <Details xmlns="8978a658-3d11-4a81-97af-d5b56c1fb361" xsi:nil="true"/>
    <dptest xmlns="8978a658-3d11-4a81-97af-d5b56c1fb361" xsi:nil="true"/>
    <Choice xmlns="8978a658-3d11-4a81-97af-d5b56c1fb361">false</Choice>
    <Sythesized_x0020_into_x0020_writeup_x003f_ xmlns="8978a658-3d11-4a81-97af-d5b56c1fb361">true</Sythesized_x0020_into_x0020_writeup_x003f_>
    <test0 xmlns="8978a658-3d11-4a81-97af-d5b56c1fb361">true</test0>
    <QFE xmlns="8978a658-3d11-4a81-97af-d5b56c1fb361">true</QFE>
    <Test xmlns="8978a658-3d11-4a81-97af-d5b56c1fb361">
      <UserInfo>
        <DisplayName/>
        <AccountId xsi:nil="true"/>
        <AccountType/>
      </UserInfo>
    </Test>
    <lcf76f155ced4ddcb4097134ff3c332f xmlns="8978a658-3d11-4a81-97af-d5b56c1fb361">
      <Terms xmlns="http://schemas.microsoft.com/office/infopath/2007/PartnerControls"/>
    </lcf76f155ced4ddcb4097134ff3c332f>
    <Industry xmlns="8978a658-3d11-4a81-97af-d5b56c1fb361" xsi:nil="true"/>
    <Segment xmlns="8978a658-3d11-4a81-97af-d5b56c1fb361" xsi:nil="true"/>
    <Comment xmlns="8978a658-3d11-4a81-97af-d5b56c1fb361" xsi:nil="true"/>
  </documentManagement>
</p:properties>
</file>

<file path=customXml/itemProps1.xml><?xml version="1.0" encoding="utf-8"?>
<ds:datastoreItem xmlns:ds="http://schemas.openxmlformats.org/officeDocument/2006/customXml" ds:itemID="{831FDB8E-F791-468C-8BC1-21DFF24B6D05}"/>
</file>

<file path=customXml/itemProps2.xml><?xml version="1.0" encoding="utf-8"?>
<ds:datastoreItem xmlns:ds="http://schemas.openxmlformats.org/officeDocument/2006/customXml" ds:itemID="{7CED8992-E810-47BA-A784-6C1092A09C63}"/>
</file>

<file path=customXml/itemProps3.xml><?xml version="1.0" encoding="utf-8"?>
<ds:datastoreItem xmlns:ds="http://schemas.openxmlformats.org/officeDocument/2006/customXml" ds:itemID="{9636EA3C-227B-4697-8566-0F9130A36D96}"/>
</file>

<file path=docMetadata/LabelInfo.xml><?xml version="1.0" encoding="utf-8"?>
<clbl:labelList xmlns:clbl="http://schemas.microsoft.com/office/2020/mipLabelMetadata">
  <clbl:label id="{87867195-f2b8-4ac2-b0b6-6bb73cb33afc}" enabled="1" method="Privilege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Gedion Alemayehu</cp:lastModifiedBy>
  <cp:revision>1</cp:revision>
  <dcterms:created xsi:type="dcterms:W3CDTF">2021-07-16T22:25:05Z</dcterms:created>
  <dcterms:modified xsi:type="dcterms:W3CDTF">2023-11-22T19:37:43Z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0x01010018E9A87F33DDDF47B4034F7640DF5146</vt:lpwstr>
  </property>
  <property fmtid="{D5CDD505-2E9C-101B-9397-08002B2CF9AE}" pid="3" name="MediaServiceImageTags">
    <vt:lpwstr/>
  </property>
  <property fmtid="{D5CDD505-2E9C-101B-9397-08002B2CF9AE}" pid="4" name="j1ddeb2b0f824d21b6864f26ba9a3bed">
    <vt:lpwstr/>
  </property>
  <property fmtid="{D5CDD505-2E9C-101B-9397-08002B2CF9AE}" pid="5" name="TaxCatchAll">
    <vt:lpwstr/>
  </property>
  <property fmtid="{D5CDD505-2E9C-101B-9397-08002B2CF9AE}" pid="6" name="Country">
    <vt:lpwstr/>
  </property>
</Properties>
</file>